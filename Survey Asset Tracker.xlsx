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river3651001394-my.sharepoint.com/personal/james_hartley_us_q-cells_com/Documents/Desktop/"/>
    </mc:Choice>
  </mc:AlternateContent>
  <xr:revisionPtr revIDLastSave="492" documentId="8_{8EC87FC8-DB3B-4B04-AF31-C320485E1974}" xr6:coauthVersionLast="47" xr6:coauthVersionMax="47" xr10:uidLastSave="{210D905A-3683-442F-BDF0-8A9696E92D02}"/>
  <bookViews>
    <workbookView xWindow="28680" yWindow="-120" windowWidth="29040" windowHeight="15720" tabRatio="854" activeTab="9" xr2:uid="{8416F086-26E5-4240-BF94-3BA3644D8D9F}"/>
  </bookViews>
  <sheets>
    <sheet name="2026 Purchase" sheetId="20" r:id="rId1"/>
    <sheet name="0247_Atlas IV" sheetId="11" r:id="rId2"/>
    <sheet name="0249_Atlas VI" sheetId="13" r:id="rId3"/>
    <sheet name="0250_Atlas X " sheetId="6" r:id="rId4"/>
    <sheet name="0255_Atlas II " sheetId="10" r:id="rId5"/>
    <sheet name="0257_Blossom" sheetId="14" r:id="rId6"/>
    <sheet name="0258_Ursa" sheetId="19" r:id="rId7"/>
    <sheet name="0282_Beavertail" sheetId="4" r:id="rId8"/>
    <sheet name="0272_Atlas XI" sheetId="5" r:id="rId9"/>
    <sheet name="0273_Armadillo" sheetId="3" r:id="rId10"/>
    <sheet name="0274_Eagle Creek" sheetId="15" r:id="rId11"/>
    <sheet name="0275_Atlas V" sheetId="12" r:id="rId12"/>
    <sheet name="0283_Clear Fork Creek" sheetId="1" r:id="rId13"/>
    <sheet name="0302_Travertine" sheetId="18" r:id="rId14"/>
    <sheet name="0304_Great Plains" sheetId="16" r:id="rId15"/>
    <sheet name="0305_Switchgrass" sheetId="17" r:id="rId16"/>
    <sheet name="0312_Atlas XII" sheetId="8" r:id="rId17"/>
    <sheet name="0313_Atlas XIII" sheetId="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3" l="1"/>
  <c r="K4" i="1"/>
  <c r="K14" i="1"/>
  <c r="K12" i="1"/>
  <c r="K10" i="1"/>
  <c r="K8" i="1"/>
  <c r="K6" i="1"/>
  <c r="L18" i="1"/>
  <c r="L16" i="1"/>
  <c r="L26" i="1"/>
  <c r="L24" i="1"/>
  <c r="L22" i="1"/>
</calcChain>
</file>

<file path=xl/sharedStrings.xml><?xml version="1.0" encoding="utf-8"?>
<sst xmlns="http://schemas.openxmlformats.org/spreadsheetml/2006/main" count="1153" uniqueCount="261">
  <si>
    <t>Topcon Office + Site Prep</t>
  </si>
  <si>
    <t>Item</t>
  </si>
  <si>
    <t>Serial Number</t>
  </si>
  <si>
    <t>Rent</t>
  </si>
  <si>
    <t>Own</t>
  </si>
  <si>
    <t>RPO</t>
  </si>
  <si>
    <t>X</t>
  </si>
  <si>
    <t>FC-6400 w/Pocket 3D</t>
  </si>
  <si>
    <t>Firmware</t>
  </si>
  <si>
    <t>Hiper VR</t>
  </si>
  <si>
    <t>Hiper XR</t>
  </si>
  <si>
    <t>1661-10443</t>
  </si>
  <si>
    <t>1661-12240</t>
  </si>
  <si>
    <t>1661-10755</t>
  </si>
  <si>
    <t>Notes</t>
  </si>
  <si>
    <t>1635-12498</t>
  </si>
  <si>
    <t>1635-13736</t>
  </si>
  <si>
    <t>Subscription End</t>
  </si>
  <si>
    <t>Version 9.1.1 (Build 2508040715)</t>
  </si>
  <si>
    <t>Trimble Business Center</t>
  </si>
  <si>
    <t>2 meter GNSS Rod</t>
  </si>
  <si>
    <t>Manufacturer</t>
  </si>
  <si>
    <t>Topcon</t>
  </si>
  <si>
    <t>Carlson</t>
  </si>
  <si>
    <t>Satel</t>
  </si>
  <si>
    <t>Vasco-B</t>
  </si>
  <si>
    <t>Office + Site Prep</t>
  </si>
  <si>
    <t>Hiper V</t>
  </si>
  <si>
    <t>Easy Pro 35</t>
  </si>
  <si>
    <t>Part Number</t>
  </si>
  <si>
    <t>Bipod</t>
  </si>
  <si>
    <t>Tripod</t>
  </si>
  <si>
    <t>Tribrach</t>
  </si>
  <si>
    <t>Satel DC Kit</t>
  </si>
  <si>
    <t>Satel AC Kit</t>
  </si>
  <si>
    <t>LMR 400 - 30 ft</t>
  </si>
  <si>
    <t>TNC to TNC - 20 ft</t>
  </si>
  <si>
    <t>TNC to 90 TNC - 20 ft</t>
  </si>
  <si>
    <t>FC-6000 AC Charger</t>
  </si>
  <si>
    <t>Hiper VR AC Charger</t>
  </si>
  <si>
    <t>Hiper XR AC Charger</t>
  </si>
  <si>
    <t>Vasco-B Power supply</t>
  </si>
  <si>
    <t>Hiper V Battery</t>
  </si>
  <si>
    <t>Hiper V AC Battery Charger</t>
  </si>
  <si>
    <t>9-pin to Satel lemo</t>
  </si>
  <si>
    <t>Serial lemo to 9-pin cable</t>
  </si>
  <si>
    <t>Last Calibration</t>
  </si>
  <si>
    <t>N/A</t>
  </si>
  <si>
    <t>Cost</t>
  </si>
  <si>
    <t>Value</t>
  </si>
  <si>
    <t>1122-13320</t>
  </si>
  <si>
    <t>YC0368</t>
  </si>
  <si>
    <t>James Hartley's unit (temp loaner for site)</t>
  </si>
  <si>
    <t>Asset Number</t>
  </si>
  <si>
    <t>1064659-01</t>
  </si>
  <si>
    <t>General Superintendent use</t>
  </si>
  <si>
    <t>Site use</t>
  </si>
  <si>
    <t>Fiberglass Antenna 4 ft</t>
  </si>
  <si>
    <t>Gen II</t>
  </si>
  <si>
    <t>Wingra One</t>
  </si>
  <si>
    <t>James Hartley owned</t>
  </si>
  <si>
    <t>Z145219</t>
  </si>
  <si>
    <t>Z177397</t>
  </si>
  <si>
    <t>Z171348</t>
  </si>
  <si>
    <t>HQC-DC-0001</t>
  </si>
  <si>
    <t>HQC-DC-0002</t>
  </si>
  <si>
    <t>HQC-DC-0003</t>
  </si>
  <si>
    <t>RDO-DC-0001</t>
  </si>
  <si>
    <t>RDO-DC-0002</t>
  </si>
  <si>
    <t>RDO-DC-0003</t>
  </si>
  <si>
    <t>HQC-GNSS-0001</t>
  </si>
  <si>
    <t>HQC-GNSS-0002</t>
  </si>
  <si>
    <t>HQC-GNSS-0003</t>
  </si>
  <si>
    <t>RDO-GNSS-0001</t>
  </si>
  <si>
    <t>RDO-GNSS-0002</t>
  </si>
  <si>
    <t>RDO-GNSS-0003</t>
  </si>
  <si>
    <t>HQC-GNSS-0004</t>
  </si>
  <si>
    <t>HQC-GNSS-0005</t>
  </si>
  <si>
    <t>HQC-GNSS-0005A</t>
  </si>
  <si>
    <t>HQC-GNSS-0005B</t>
  </si>
  <si>
    <t>HQC-GNSS-0005C</t>
  </si>
  <si>
    <t>RDO-DC-0001A</t>
  </si>
  <si>
    <t>RDO-DC-0003A</t>
  </si>
  <si>
    <t>RDO-DC-0002A</t>
  </si>
  <si>
    <t>HQC-DC-0001A</t>
  </si>
  <si>
    <t>HQC-DC-0002A</t>
  </si>
  <si>
    <t>HQC-DC-0003A</t>
  </si>
  <si>
    <t>HQC-GNSS-0001A</t>
  </si>
  <si>
    <t>HQC-GNSS-0002A</t>
  </si>
  <si>
    <t>HQC-GNSS-0003A</t>
  </si>
  <si>
    <t>RDO-GNSS-0001A</t>
  </si>
  <si>
    <t>RDO-GNSS-0002A</t>
  </si>
  <si>
    <t>RDO-GNSS-0003A</t>
  </si>
  <si>
    <t>HQC-GNSS-0004A</t>
  </si>
  <si>
    <t>HQC-GNSS-0004B</t>
  </si>
  <si>
    <t>HQC-GNSS-0004C</t>
  </si>
  <si>
    <t>HQC-GNSS-0004D</t>
  </si>
  <si>
    <t>HQC-UHF-0001</t>
  </si>
  <si>
    <t>HQC-UHF-0002</t>
  </si>
  <si>
    <t>HQC-UHF-0001A</t>
  </si>
  <si>
    <t>HQC-UHF-0001B</t>
  </si>
  <si>
    <t>HQC-UHF-0002A</t>
  </si>
  <si>
    <t>HQC-UHF-0002B</t>
  </si>
  <si>
    <t>HQC-2MTR-0001</t>
  </si>
  <si>
    <t>HQC-2MTR-0002</t>
  </si>
  <si>
    <t>HQC-2MTR-0003</t>
  </si>
  <si>
    <t>HQC-2MTR-0004</t>
  </si>
  <si>
    <t>HQC-2MTR-0005</t>
  </si>
  <si>
    <t>HQC-2MTR-0006</t>
  </si>
  <si>
    <t>HQC-2MTR-0007</t>
  </si>
  <si>
    <t>HQC-2MTR-0008</t>
  </si>
  <si>
    <t>HQC-2MTR-0009</t>
  </si>
  <si>
    <t>HQC-2MTR-0010</t>
  </si>
  <si>
    <t>HQC-BIP-0001</t>
  </si>
  <si>
    <t>HQC-TRI-0001</t>
  </si>
  <si>
    <t>HQC-BIP-0002</t>
  </si>
  <si>
    <t>HQC-BIP-0003</t>
  </si>
  <si>
    <t>HQC-BIP-0004</t>
  </si>
  <si>
    <t>HQC-BIP-0005</t>
  </si>
  <si>
    <t>HQC-TRIB-0001</t>
  </si>
  <si>
    <t>HQC-CBL-0001</t>
  </si>
  <si>
    <t>HQC-CBL-0002</t>
  </si>
  <si>
    <t>HQC-CBL-0003</t>
  </si>
  <si>
    <t>HQC-CBL-0004</t>
  </si>
  <si>
    <t>HQC-CBL-0005</t>
  </si>
  <si>
    <t>HQC-CBL-0006</t>
  </si>
  <si>
    <t>HQC-CBL-0007</t>
  </si>
  <si>
    <t>HQC-ANT-0001</t>
  </si>
  <si>
    <t>Fiberglass Antenna 2 ft</t>
  </si>
  <si>
    <t>HQC-ANT-0002</t>
  </si>
  <si>
    <t>HQC-ANT-0003</t>
  </si>
  <si>
    <t>HQC-UAV-0002</t>
  </si>
  <si>
    <t>HQC-3DO-0001</t>
  </si>
  <si>
    <t>HQC-3DO-0002</t>
  </si>
  <si>
    <t>HQC-UAV-0001</t>
  </si>
  <si>
    <t>HQC-3DO-0003</t>
  </si>
  <si>
    <t>HQC-DC-0004</t>
  </si>
  <si>
    <t>HQC-DC-0005</t>
  </si>
  <si>
    <t>HQC-DC-0006</t>
  </si>
  <si>
    <t>HQC-DC-0004A</t>
  </si>
  <si>
    <t>HQC-DC-0005A</t>
  </si>
  <si>
    <t>HQC-DC-0006A</t>
  </si>
  <si>
    <t>RDO-DC-0004</t>
  </si>
  <si>
    <t>RDO-DC-0005</t>
  </si>
  <si>
    <t>RDO-DC-0004A</t>
  </si>
  <si>
    <t>RDO-DC-0006</t>
  </si>
  <si>
    <t>RDO-DC-0005A</t>
  </si>
  <si>
    <t>RDO-DC-0006A</t>
  </si>
  <si>
    <t>HQC-GNSS-0006</t>
  </si>
  <si>
    <t>HQC-GNSS-0006A</t>
  </si>
  <si>
    <t>RDO-GNSS-0006</t>
  </si>
  <si>
    <t>RDO-GNSS-0006A</t>
  </si>
  <si>
    <t>RDO-GNSS-0007</t>
  </si>
  <si>
    <t>RDO-GNSS-0007A</t>
  </si>
  <si>
    <t>RDO-GNSS-0008</t>
  </si>
  <si>
    <t>RDO-GNSS-0008A</t>
  </si>
  <si>
    <t>RDO-GNSS-0009</t>
  </si>
  <si>
    <t>RDO-GNSS-0009A</t>
  </si>
  <si>
    <t>RDO-GNSS-0009B</t>
  </si>
  <si>
    <t>RDO-GNSS-0009C</t>
  </si>
  <si>
    <t>RDO-GNSS-0009D</t>
  </si>
  <si>
    <t>HQC-UHF-0003</t>
  </si>
  <si>
    <t>HQC-UHF-0003A</t>
  </si>
  <si>
    <t>HQC-UHF-0003B</t>
  </si>
  <si>
    <t>RDO-UHF-0004</t>
  </si>
  <si>
    <t>RDO-UHF-0005</t>
  </si>
  <si>
    <t>RDO-UHF-0004A</t>
  </si>
  <si>
    <t>RDO-UHF-0004B</t>
  </si>
  <si>
    <t>RDO-UHF-0005A</t>
  </si>
  <si>
    <t>RDO-UHF-0005B</t>
  </si>
  <si>
    <t>HQC-2MTR-0011</t>
  </si>
  <si>
    <t>HQC-2MTR-0012</t>
  </si>
  <si>
    <t>HQC-2MTR-0013</t>
  </si>
  <si>
    <t>HQC-2MTR-0014</t>
  </si>
  <si>
    <t>HQC-2MTR-0015</t>
  </si>
  <si>
    <t>HQC-2MTR-0016</t>
  </si>
  <si>
    <t>HQC-2MTR-0017</t>
  </si>
  <si>
    <t>HQC-2MTR-0018</t>
  </si>
  <si>
    <t>HQC-2MTR-0019</t>
  </si>
  <si>
    <t>HQC-2MTR-0020</t>
  </si>
  <si>
    <t>HQC-BIP-0006</t>
  </si>
  <si>
    <t>HQC-BIP-0007</t>
  </si>
  <si>
    <t>HQC-BIP-0008</t>
  </si>
  <si>
    <t>HQC-TRI-0002</t>
  </si>
  <si>
    <t>HQC-TRIB-0002</t>
  </si>
  <si>
    <t>HQC-CBL-0008</t>
  </si>
  <si>
    <t>HQC-CBL-0009</t>
  </si>
  <si>
    <t>HQC-CBL-0010</t>
  </si>
  <si>
    <t>HQC-CBL-0011</t>
  </si>
  <si>
    <t>HQC-CBL-0012</t>
  </si>
  <si>
    <t>HQC-CBL-0013</t>
  </si>
  <si>
    <t>HQC-CBL-0014</t>
  </si>
  <si>
    <t>Battery Set</t>
  </si>
  <si>
    <t>Tablet</t>
  </si>
  <si>
    <t>Charging Station</t>
  </si>
  <si>
    <t>Antenna</t>
  </si>
  <si>
    <t>High Altitude Blades</t>
  </si>
  <si>
    <t>Replacement Blades</t>
  </si>
  <si>
    <t>HQC-UAV-0001A</t>
  </si>
  <si>
    <t>HQC-UAV-0001B</t>
  </si>
  <si>
    <t>HQC-UAV-0001C</t>
  </si>
  <si>
    <t>HQC-UAV-0001D</t>
  </si>
  <si>
    <t>HQC-UAV-0001E</t>
  </si>
  <si>
    <t>HQC-UAV-0001F</t>
  </si>
  <si>
    <t>HQC-UAV-0001G</t>
  </si>
  <si>
    <t>HQC-UAV-0001H</t>
  </si>
  <si>
    <t>Drone Case</t>
  </si>
  <si>
    <t>Accessory Case</t>
  </si>
  <si>
    <t>HQC-UAV-0001I</t>
  </si>
  <si>
    <t>HQC-UAV-0001J</t>
  </si>
  <si>
    <t>HQC-ANT-0005</t>
  </si>
  <si>
    <t>A45 Antenna</t>
  </si>
  <si>
    <t>Vendor</t>
  </si>
  <si>
    <t>RDO</t>
  </si>
  <si>
    <t>Allterra</t>
  </si>
  <si>
    <t>1635-12747</t>
  </si>
  <si>
    <t>1448-32407</t>
  </si>
  <si>
    <t>1448-32402</t>
  </si>
  <si>
    <t>1635-12749</t>
  </si>
  <si>
    <t>1661-13347</t>
  </si>
  <si>
    <t>1661-13435</t>
  </si>
  <si>
    <t>1661-10766</t>
  </si>
  <si>
    <t>GS Unit</t>
  </si>
  <si>
    <t>22_0350683</t>
  </si>
  <si>
    <t>Harxon</t>
  </si>
  <si>
    <t>D23107034</t>
  </si>
  <si>
    <t>Harxon-UHF</t>
  </si>
  <si>
    <t>Harxon DC kit</t>
  </si>
  <si>
    <t>Harxon AC kit</t>
  </si>
  <si>
    <t>HQC-TRI-0003</t>
  </si>
  <si>
    <t>HQC-TRI-0004</t>
  </si>
  <si>
    <t>HQC-TRI-0005</t>
  </si>
  <si>
    <t>450 mHz Whip Antenna</t>
  </si>
  <si>
    <t>HQC-ANT-0006</t>
  </si>
  <si>
    <t>HQC-ANT-0007</t>
  </si>
  <si>
    <t>Bipod5</t>
  </si>
  <si>
    <t>Bipod6</t>
  </si>
  <si>
    <t>Bipod7</t>
  </si>
  <si>
    <t>Bipod8</t>
  </si>
  <si>
    <t>Tripod2</t>
  </si>
  <si>
    <t>Tripod3</t>
  </si>
  <si>
    <t>Tripod4</t>
  </si>
  <si>
    <t>Tripod5</t>
  </si>
  <si>
    <t>HQC-UHF-0004</t>
  </si>
  <si>
    <t>HQC-UHF-0004A</t>
  </si>
  <si>
    <t>HQC-UHF-0004B</t>
  </si>
  <si>
    <t>HQC-DC-0007</t>
  </si>
  <si>
    <t>HQC-DC-0007A</t>
  </si>
  <si>
    <t>HQC-GNSS-0007</t>
  </si>
  <si>
    <t>HQC-GNSS-0007A</t>
  </si>
  <si>
    <t>VASCO-B</t>
  </si>
  <si>
    <t>FC-6400</t>
  </si>
  <si>
    <t>Easy Pro</t>
  </si>
  <si>
    <t>MFG</t>
  </si>
  <si>
    <t>Unit</t>
  </si>
  <si>
    <t>S/N</t>
  </si>
  <si>
    <t>Site</t>
  </si>
  <si>
    <t>Blossom</t>
  </si>
  <si>
    <t>Armadillo</t>
  </si>
  <si>
    <t>Clear Fork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</si>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</sst>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EE74-3FA9-4C5E-A8C7-6CD5756BC3D0}">
  <dimension ref="A1:D113"/>
  <sheetViews>
    <sheetView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4" max="4" width="9.85546875" bestFit="1" customWidth="1"/>
  </cols>
  <sheetData>
    <row r="1" spans="1:4" x14ac:dyDescent="0.25">
      <c r="A1" t="s">
        <v>253</v>
      </c>
      <c r="B1" t="s">
        <v>254</v>
      </c>
      <c r="C1" t="s">
        <v>255</v>
      </c>
      <c r="D1" t="s">
        <v>256</v>
      </c>
    </row>
    <row r="2" spans="1:4" x14ac:dyDescent="0.25">
      <c r="A2" t="s">
        <v>22</v>
      </c>
      <c r="B2" t="s">
        <v>10</v>
      </c>
      <c r="D2" t="s">
        <v>258</v>
      </c>
    </row>
    <row r="3" spans="1:4" x14ac:dyDescent="0.25">
      <c r="A3" t="s">
        <v>22</v>
      </c>
      <c r="B3" t="s">
        <v>10</v>
      </c>
      <c r="D3" t="s">
        <v>258</v>
      </c>
    </row>
    <row r="4" spans="1:4" x14ac:dyDescent="0.25">
      <c r="A4" t="s">
        <v>22</v>
      </c>
      <c r="B4" t="s">
        <v>10</v>
      </c>
      <c r="D4" t="s">
        <v>258</v>
      </c>
    </row>
    <row r="5" spans="1:4" x14ac:dyDescent="0.25">
      <c r="A5" t="s">
        <v>22</v>
      </c>
      <c r="B5" t="s">
        <v>10</v>
      </c>
      <c r="D5" t="s">
        <v>259</v>
      </c>
    </row>
    <row r="6" spans="1:4" x14ac:dyDescent="0.25">
      <c r="A6" t="s">
        <v>22</v>
      </c>
      <c r="B6" t="s">
        <v>10</v>
      </c>
      <c r="D6" t="s">
        <v>259</v>
      </c>
    </row>
    <row r="7" spans="1:4" x14ac:dyDescent="0.25">
      <c r="A7" t="s">
        <v>22</v>
      </c>
      <c r="B7" t="s">
        <v>10</v>
      </c>
      <c r="D7" t="s">
        <v>259</v>
      </c>
    </row>
    <row r="8" spans="1:4" x14ac:dyDescent="0.25">
      <c r="A8" t="s">
        <v>22</v>
      </c>
      <c r="B8" t="s">
        <v>10</v>
      </c>
      <c r="D8" t="s">
        <v>259</v>
      </c>
    </row>
    <row r="9" spans="1:4" x14ac:dyDescent="0.25">
      <c r="A9" t="s">
        <v>22</v>
      </c>
      <c r="B9" t="s">
        <v>10</v>
      </c>
      <c r="D9" t="s">
        <v>260</v>
      </c>
    </row>
    <row r="10" spans="1:4" x14ac:dyDescent="0.25">
      <c r="A10" t="s">
        <v>22</v>
      </c>
      <c r="B10" t="s">
        <v>10</v>
      </c>
      <c r="D10" t="s">
        <v>260</v>
      </c>
    </row>
    <row r="11" spans="1:4" x14ac:dyDescent="0.25">
      <c r="A11" t="s">
        <v>22</v>
      </c>
      <c r="B11" t="s">
        <v>10</v>
      </c>
    </row>
    <row r="12" spans="1:4" x14ac:dyDescent="0.25">
      <c r="A12" t="s">
        <v>22</v>
      </c>
      <c r="B12" t="s">
        <v>10</v>
      </c>
    </row>
    <row r="13" spans="1:4" x14ac:dyDescent="0.25">
      <c r="A13" t="s">
        <v>22</v>
      </c>
      <c r="B13" t="s">
        <v>10</v>
      </c>
    </row>
    <row r="14" spans="1:4" x14ac:dyDescent="0.25">
      <c r="A14" t="s">
        <v>22</v>
      </c>
      <c r="B14" t="s">
        <v>10</v>
      </c>
    </row>
    <row r="15" spans="1:4" x14ac:dyDescent="0.25">
      <c r="A15" t="s">
        <v>22</v>
      </c>
      <c r="B15" t="s">
        <v>10</v>
      </c>
    </row>
    <row r="16" spans="1:4" x14ac:dyDescent="0.25">
      <c r="A16" t="s">
        <v>22</v>
      </c>
      <c r="B16" t="s">
        <v>10</v>
      </c>
    </row>
    <row r="17" spans="1:2" x14ac:dyDescent="0.25">
      <c r="A17" t="s">
        <v>22</v>
      </c>
      <c r="B17" t="s">
        <v>10</v>
      </c>
    </row>
    <row r="18" spans="1:2" x14ac:dyDescent="0.25">
      <c r="A18" t="s">
        <v>22</v>
      </c>
      <c r="B18" t="s">
        <v>10</v>
      </c>
    </row>
    <row r="19" spans="1:2" x14ac:dyDescent="0.25">
      <c r="A19" t="s">
        <v>22</v>
      </c>
      <c r="B19" t="s">
        <v>10</v>
      </c>
    </row>
    <row r="20" spans="1:2" x14ac:dyDescent="0.25">
      <c r="A20" t="s">
        <v>22</v>
      </c>
      <c r="B20" t="s">
        <v>10</v>
      </c>
    </row>
    <row r="21" spans="1:2" x14ac:dyDescent="0.25">
      <c r="A21" t="s">
        <v>22</v>
      </c>
      <c r="B21" t="s">
        <v>10</v>
      </c>
    </row>
    <row r="22" spans="1:2" x14ac:dyDescent="0.25">
      <c r="A22" t="s">
        <v>22</v>
      </c>
      <c r="B22" t="s">
        <v>10</v>
      </c>
    </row>
    <row r="23" spans="1:2" x14ac:dyDescent="0.25">
      <c r="A23" t="s">
        <v>22</v>
      </c>
      <c r="B23" t="s">
        <v>10</v>
      </c>
    </row>
    <row r="24" spans="1:2" x14ac:dyDescent="0.25">
      <c r="A24" t="s">
        <v>22</v>
      </c>
      <c r="B24" t="s">
        <v>10</v>
      </c>
    </row>
    <row r="25" spans="1:2" x14ac:dyDescent="0.25">
      <c r="A25" t="s">
        <v>22</v>
      </c>
      <c r="B25" t="s">
        <v>10</v>
      </c>
    </row>
    <row r="26" spans="1:2" x14ac:dyDescent="0.25">
      <c r="A26" t="s">
        <v>22</v>
      </c>
      <c r="B26" t="s">
        <v>10</v>
      </c>
    </row>
    <row r="27" spans="1:2" x14ac:dyDescent="0.25">
      <c r="A27" t="s">
        <v>22</v>
      </c>
      <c r="B27" t="s">
        <v>10</v>
      </c>
    </row>
    <row r="28" spans="1:2" x14ac:dyDescent="0.25">
      <c r="A28" t="s">
        <v>22</v>
      </c>
      <c r="B28" t="s">
        <v>10</v>
      </c>
    </row>
    <row r="29" spans="1:2" x14ac:dyDescent="0.25">
      <c r="A29" t="s">
        <v>22</v>
      </c>
      <c r="B29" t="s">
        <v>10</v>
      </c>
    </row>
    <row r="30" spans="1:2" x14ac:dyDescent="0.25">
      <c r="A30" t="s">
        <v>22</v>
      </c>
      <c r="B30" t="s">
        <v>10</v>
      </c>
    </row>
    <row r="31" spans="1:2" x14ac:dyDescent="0.25">
      <c r="A31" t="s">
        <v>22</v>
      </c>
      <c r="B31" t="s">
        <v>10</v>
      </c>
    </row>
    <row r="32" spans="1:2" x14ac:dyDescent="0.25">
      <c r="A32" t="s">
        <v>22</v>
      </c>
      <c r="B32" t="s">
        <v>10</v>
      </c>
    </row>
    <row r="33" spans="1:2" x14ac:dyDescent="0.25">
      <c r="A33" t="s">
        <v>22</v>
      </c>
      <c r="B33" t="s">
        <v>10</v>
      </c>
    </row>
    <row r="34" spans="1:2" x14ac:dyDescent="0.25">
      <c r="A34" t="s">
        <v>22</v>
      </c>
      <c r="B34" t="s">
        <v>10</v>
      </c>
    </row>
    <row r="35" spans="1:2" x14ac:dyDescent="0.25">
      <c r="A35" t="s">
        <v>22</v>
      </c>
      <c r="B35" t="s">
        <v>10</v>
      </c>
    </row>
    <row r="36" spans="1:2" x14ac:dyDescent="0.25">
      <c r="A36" t="s">
        <v>22</v>
      </c>
      <c r="B36" t="s">
        <v>10</v>
      </c>
    </row>
    <row r="37" spans="1:2" x14ac:dyDescent="0.25">
      <c r="A37" t="s">
        <v>22</v>
      </c>
      <c r="B37" t="s">
        <v>10</v>
      </c>
    </row>
    <row r="38" spans="1:2" x14ac:dyDescent="0.25">
      <c r="A38" t="s">
        <v>22</v>
      </c>
      <c r="B38" t="s">
        <v>10</v>
      </c>
    </row>
    <row r="39" spans="1:2" x14ac:dyDescent="0.25">
      <c r="A39" t="s">
        <v>22</v>
      </c>
      <c r="B39" t="s">
        <v>10</v>
      </c>
    </row>
    <row r="40" spans="1:2" x14ac:dyDescent="0.25">
      <c r="A40" t="s">
        <v>22</v>
      </c>
      <c r="B40" t="s">
        <v>10</v>
      </c>
    </row>
    <row r="41" spans="1:2" x14ac:dyDescent="0.25">
      <c r="A41" t="s">
        <v>22</v>
      </c>
      <c r="B41" t="s">
        <v>10</v>
      </c>
    </row>
    <row r="42" spans="1:2" x14ac:dyDescent="0.25">
      <c r="A42" t="s">
        <v>22</v>
      </c>
      <c r="B42" t="s">
        <v>10</v>
      </c>
    </row>
    <row r="43" spans="1:2" x14ac:dyDescent="0.25">
      <c r="A43" t="s">
        <v>22</v>
      </c>
      <c r="B43" t="s">
        <v>10</v>
      </c>
    </row>
    <row r="44" spans="1:2" x14ac:dyDescent="0.25">
      <c r="A44" t="s">
        <v>23</v>
      </c>
      <c r="B44" t="s">
        <v>250</v>
      </c>
    </row>
    <row r="45" spans="1:2" x14ac:dyDescent="0.25">
      <c r="A45" t="s">
        <v>23</v>
      </c>
      <c r="B45" t="s">
        <v>250</v>
      </c>
    </row>
    <row r="46" spans="1:2" x14ac:dyDescent="0.25">
      <c r="A46" t="s">
        <v>23</v>
      </c>
      <c r="B46" t="s">
        <v>250</v>
      </c>
    </row>
    <row r="47" spans="1:2" x14ac:dyDescent="0.25">
      <c r="A47" t="s">
        <v>23</v>
      </c>
      <c r="B47" t="s">
        <v>250</v>
      </c>
    </row>
    <row r="48" spans="1:2" x14ac:dyDescent="0.25">
      <c r="A48" t="s">
        <v>23</v>
      </c>
      <c r="B48" t="s">
        <v>250</v>
      </c>
    </row>
    <row r="49" spans="1:4" x14ac:dyDescent="0.25">
      <c r="A49" t="s">
        <v>23</v>
      </c>
      <c r="B49" t="s">
        <v>250</v>
      </c>
    </row>
    <row r="50" spans="1:4" x14ac:dyDescent="0.25">
      <c r="A50" t="s">
        <v>23</v>
      </c>
      <c r="B50" t="s">
        <v>250</v>
      </c>
    </row>
    <row r="51" spans="1:4" x14ac:dyDescent="0.25">
      <c r="A51" t="s">
        <v>23</v>
      </c>
      <c r="B51" t="s">
        <v>250</v>
      </c>
    </row>
    <row r="52" spans="1:4" x14ac:dyDescent="0.25">
      <c r="A52" t="s">
        <v>23</v>
      </c>
      <c r="B52" t="s">
        <v>250</v>
      </c>
    </row>
    <row r="53" spans="1:4" x14ac:dyDescent="0.25">
      <c r="A53" t="s">
        <v>23</v>
      </c>
      <c r="B53" t="s">
        <v>250</v>
      </c>
    </row>
    <row r="54" spans="1:4" x14ac:dyDescent="0.25">
      <c r="A54" t="s">
        <v>23</v>
      </c>
      <c r="B54" t="s">
        <v>250</v>
      </c>
    </row>
    <row r="55" spans="1:4" x14ac:dyDescent="0.25">
      <c r="A55" t="s">
        <v>23</v>
      </c>
      <c r="B55" t="s">
        <v>250</v>
      </c>
    </row>
    <row r="56" spans="1:4" x14ac:dyDescent="0.25">
      <c r="A56" t="s">
        <v>23</v>
      </c>
      <c r="B56" t="s">
        <v>250</v>
      </c>
    </row>
    <row r="57" spans="1:4" x14ac:dyDescent="0.25">
      <c r="A57" t="s">
        <v>23</v>
      </c>
      <c r="B57" t="s">
        <v>250</v>
      </c>
    </row>
    <row r="58" spans="1:4" x14ac:dyDescent="0.25">
      <c r="A58" t="s">
        <v>22</v>
      </c>
      <c r="B58" t="s">
        <v>251</v>
      </c>
      <c r="D58" t="s">
        <v>258</v>
      </c>
    </row>
    <row r="59" spans="1:4" x14ac:dyDescent="0.25">
      <c r="A59" t="s">
        <v>22</v>
      </c>
      <c r="B59" t="s">
        <v>251</v>
      </c>
      <c r="D59" t="s">
        <v>258</v>
      </c>
    </row>
    <row r="60" spans="1:4" x14ac:dyDescent="0.25">
      <c r="A60" t="s">
        <v>22</v>
      </c>
      <c r="B60" t="s">
        <v>251</v>
      </c>
      <c r="D60" t="s">
        <v>258</v>
      </c>
    </row>
    <row r="61" spans="1:4" x14ac:dyDescent="0.25">
      <c r="A61" t="s">
        <v>22</v>
      </c>
      <c r="B61" t="s">
        <v>251</v>
      </c>
      <c r="D61" t="s">
        <v>259</v>
      </c>
    </row>
    <row r="62" spans="1:4" x14ac:dyDescent="0.25">
      <c r="A62" t="s">
        <v>22</v>
      </c>
      <c r="B62" t="s">
        <v>251</v>
      </c>
      <c r="D62" t="s">
        <v>259</v>
      </c>
    </row>
    <row r="63" spans="1:4" x14ac:dyDescent="0.25">
      <c r="A63" t="s">
        <v>22</v>
      </c>
      <c r="B63" t="s">
        <v>251</v>
      </c>
      <c r="D63" t="s">
        <v>259</v>
      </c>
    </row>
    <row r="64" spans="1:4" x14ac:dyDescent="0.25">
      <c r="A64" t="s">
        <v>22</v>
      </c>
      <c r="B64" t="s">
        <v>251</v>
      </c>
      <c r="D64" t="s">
        <v>259</v>
      </c>
    </row>
    <row r="65" spans="1:4" x14ac:dyDescent="0.25">
      <c r="A65" t="s">
        <v>22</v>
      </c>
      <c r="B65" t="s">
        <v>251</v>
      </c>
      <c r="D65" t="s">
        <v>260</v>
      </c>
    </row>
    <row r="66" spans="1:4" x14ac:dyDescent="0.25">
      <c r="A66" t="s">
        <v>22</v>
      </c>
      <c r="B66" t="s">
        <v>251</v>
      </c>
    </row>
    <row r="67" spans="1:4" x14ac:dyDescent="0.25">
      <c r="A67" t="s">
        <v>22</v>
      </c>
      <c r="B67" t="s">
        <v>251</v>
      </c>
    </row>
    <row r="68" spans="1:4" x14ac:dyDescent="0.25">
      <c r="A68" t="s">
        <v>22</v>
      </c>
      <c r="B68" t="s">
        <v>251</v>
      </c>
    </row>
    <row r="69" spans="1:4" x14ac:dyDescent="0.25">
      <c r="A69" t="s">
        <v>22</v>
      </c>
      <c r="B69" t="s">
        <v>251</v>
      </c>
    </row>
    <row r="70" spans="1:4" x14ac:dyDescent="0.25">
      <c r="A70" t="s">
        <v>22</v>
      </c>
      <c r="B70" t="s">
        <v>251</v>
      </c>
    </row>
    <row r="71" spans="1:4" x14ac:dyDescent="0.25">
      <c r="A71" t="s">
        <v>22</v>
      </c>
      <c r="B71" t="s">
        <v>251</v>
      </c>
    </row>
    <row r="72" spans="1:4" x14ac:dyDescent="0.25">
      <c r="A72" t="s">
        <v>22</v>
      </c>
      <c r="B72" t="s">
        <v>251</v>
      </c>
    </row>
    <row r="73" spans="1:4" x14ac:dyDescent="0.25">
      <c r="A73" t="s">
        <v>22</v>
      </c>
      <c r="B73" t="s">
        <v>251</v>
      </c>
    </row>
    <row r="74" spans="1:4" x14ac:dyDescent="0.25">
      <c r="A74" t="s">
        <v>22</v>
      </c>
      <c r="B74" t="s">
        <v>251</v>
      </c>
    </row>
    <row r="75" spans="1:4" x14ac:dyDescent="0.25">
      <c r="A75" t="s">
        <v>22</v>
      </c>
      <c r="B75" t="s">
        <v>251</v>
      </c>
    </row>
    <row r="76" spans="1:4" x14ac:dyDescent="0.25">
      <c r="A76" t="s">
        <v>22</v>
      </c>
      <c r="B76" t="s">
        <v>251</v>
      </c>
    </row>
    <row r="77" spans="1:4" x14ac:dyDescent="0.25">
      <c r="A77" t="s">
        <v>22</v>
      </c>
      <c r="B77" t="s">
        <v>251</v>
      </c>
    </row>
    <row r="78" spans="1:4" x14ac:dyDescent="0.25">
      <c r="A78" t="s">
        <v>22</v>
      </c>
      <c r="B78" t="s">
        <v>251</v>
      </c>
    </row>
    <row r="79" spans="1:4" x14ac:dyDescent="0.25">
      <c r="A79" t="s">
        <v>22</v>
      </c>
      <c r="B79" t="s">
        <v>251</v>
      </c>
    </row>
    <row r="80" spans="1:4" x14ac:dyDescent="0.25">
      <c r="A80" t="s">
        <v>22</v>
      </c>
      <c r="B80" t="s">
        <v>251</v>
      </c>
    </row>
    <row r="81" spans="1:2" x14ac:dyDescent="0.25">
      <c r="A81" t="s">
        <v>22</v>
      </c>
      <c r="B81" t="s">
        <v>251</v>
      </c>
    </row>
    <row r="82" spans="1:2" x14ac:dyDescent="0.25">
      <c r="A82" t="s">
        <v>22</v>
      </c>
      <c r="B82" t="s">
        <v>251</v>
      </c>
    </row>
    <row r="83" spans="1:2" x14ac:dyDescent="0.25">
      <c r="A83" t="s">
        <v>22</v>
      </c>
      <c r="B83" t="s">
        <v>251</v>
      </c>
    </row>
    <row r="84" spans="1:2" x14ac:dyDescent="0.25">
      <c r="A84" t="s">
        <v>22</v>
      </c>
      <c r="B84" t="s">
        <v>251</v>
      </c>
    </row>
    <row r="85" spans="1:2" x14ac:dyDescent="0.25">
      <c r="A85" t="s">
        <v>22</v>
      </c>
      <c r="B85" t="s">
        <v>251</v>
      </c>
    </row>
    <row r="86" spans="1:2" x14ac:dyDescent="0.25">
      <c r="A86" t="s">
        <v>22</v>
      </c>
      <c r="B86" t="s">
        <v>251</v>
      </c>
    </row>
    <row r="87" spans="1:2" x14ac:dyDescent="0.25">
      <c r="A87" t="s">
        <v>22</v>
      </c>
      <c r="B87" t="s">
        <v>251</v>
      </c>
    </row>
    <row r="88" spans="1:2" x14ac:dyDescent="0.25">
      <c r="A88" t="s">
        <v>22</v>
      </c>
      <c r="B88" t="s">
        <v>251</v>
      </c>
    </row>
    <row r="89" spans="1:2" x14ac:dyDescent="0.25">
      <c r="A89" t="s">
        <v>22</v>
      </c>
      <c r="B89" t="s">
        <v>251</v>
      </c>
    </row>
    <row r="90" spans="1:2" x14ac:dyDescent="0.25">
      <c r="A90" t="s">
        <v>22</v>
      </c>
      <c r="B90" t="s">
        <v>251</v>
      </c>
    </row>
    <row r="91" spans="1:2" x14ac:dyDescent="0.25">
      <c r="A91" t="s">
        <v>22</v>
      </c>
      <c r="B91" t="s">
        <v>251</v>
      </c>
    </row>
    <row r="92" spans="1:2" x14ac:dyDescent="0.25">
      <c r="A92" t="s">
        <v>22</v>
      </c>
      <c r="B92" t="s">
        <v>251</v>
      </c>
    </row>
    <row r="93" spans="1:2" x14ac:dyDescent="0.25">
      <c r="A93" t="s">
        <v>22</v>
      </c>
      <c r="B93" t="s">
        <v>251</v>
      </c>
    </row>
    <row r="94" spans="1:2" x14ac:dyDescent="0.25">
      <c r="A94" t="s">
        <v>22</v>
      </c>
      <c r="B94" t="s">
        <v>251</v>
      </c>
    </row>
    <row r="95" spans="1:2" x14ac:dyDescent="0.25">
      <c r="A95" t="s">
        <v>22</v>
      </c>
      <c r="B95" t="s">
        <v>251</v>
      </c>
    </row>
    <row r="96" spans="1:2" x14ac:dyDescent="0.25">
      <c r="A96" t="s">
        <v>22</v>
      </c>
      <c r="B96" t="s">
        <v>251</v>
      </c>
    </row>
    <row r="97" spans="1:4" x14ac:dyDescent="0.25">
      <c r="A97" t="s">
        <v>22</v>
      </c>
      <c r="B97" t="s">
        <v>251</v>
      </c>
    </row>
    <row r="98" spans="1:4" x14ac:dyDescent="0.25">
      <c r="A98" t="s">
        <v>22</v>
      </c>
      <c r="B98" t="s">
        <v>251</v>
      </c>
    </row>
    <row r="99" spans="1:4" x14ac:dyDescent="0.25">
      <c r="A99" t="s">
        <v>22</v>
      </c>
      <c r="B99" t="s">
        <v>251</v>
      </c>
    </row>
    <row r="100" spans="1:4" x14ac:dyDescent="0.25">
      <c r="A100" t="s">
        <v>24</v>
      </c>
      <c r="B100" t="s">
        <v>252</v>
      </c>
      <c r="D100" t="s">
        <v>257</v>
      </c>
    </row>
    <row r="101" spans="1:4" x14ac:dyDescent="0.25">
      <c r="A101" t="s">
        <v>24</v>
      </c>
      <c r="B101" t="s">
        <v>252</v>
      </c>
    </row>
    <row r="102" spans="1:4" x14ac:dyDescent="0.25">
      <c r="A102" t="s">
        <v>24</v>
      </c>
      <c r="B102" t="s">
        <v>252</v>
      </c>
    </row>
    <row r="103" spans="1:4" x14ac:dyDescent="0.25">
      <c r="A103" t="s">
        <v>24</v>
      </c>
      <c r="B103" t="s">
        <v>252</v>
      </c>
    </row>
    <row r="104" spans="1:4" x14ac:dyDescent="0.25">
      <c r="A104" t="s">
        <v>24</v>
      </c>
      <c r="B104" t="s">
        <v>252</v>
      </c>
    </row>
    <row r="105" spans="1:4" x14ac:dyDescent="0.25">
      <c r="A105" t="s">
        <v>24</v>
      </c>
      <c r="B105" t="s">
        <v>252</v>
      </c>
    </row>
    <row r="106" spans="1:4" x14ac:dyDescent="0.25">
      <c r="A106" t="s">
        <v>24</v>
      </c>
      <c r="B106" t="s">
        <v>252</v>
      </c>
    </row>
    <row r="107" spans="1:4" x14ac:dyDescent="0.25">
      <c r="A107" t="s">
        <v>24</v>
      </c>
      <c r="B107" t="s">
        <v>252</v>
      </c>
    </row>
    <row r="108" spans="1:4" x14ac:dyDescent="0.25">
      <c r="A108" t="s">
        <v>24</v>
      </c>
      <c r="B108" t="s">
        <v>252</v>
      </c>
    </row>
    <row r="109" spans="1:4" x14ac:dyDescent="0.25">
      <c r="A109" t="s">
        <v>24</v>
      </c>
      <c r="B109" t="s">
        <v>252</v>
      </c>
    </row>
    <row r="110" spans="1:4" x14ac:dyDescent="0.25">
      <c r="A110" t="s">
        <v>24</v>
      </c>
      <c r="B110" t="s">
        <v>252</v>
      </c>
    </row>
    <row r="111" spans="1:4" x14ac:dyDescent="0.25">
      <c r="A111" t="s">
        <v>24</v>
      </c>
      <c r="B111" t="s">
        <v>252</v>
      </c>
    </row>
    <row r="112" spans="1:4" x14ac:dyDescent="0.25">
      <c r="A112" t="s">
        <v>24</v>
      </c>
      <c r="B112" t="s">
        <v>252</v>
      </c>
    </row>
    <row r="113" spans="1:2" x14ac:dyDescent="0.25">
      <c r="A113" t="s">
        <v>24</v>
      </c>
      <c r="B113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1A73-956F-4BA4-B040-D0434919AFB0}">
  <dimension ref="A1:N17"/>
  <sheetViews>
    <sheetView workbookViewId="0">
      <selection activeCell="P8" sqref="P8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71AF-626A-470E-A768-E0212C47EF29}">
  <dimension ref="A1:N17"/>
  <sheetViews>
    <sheetView workbookViewId="0">
      <selection sqref="A1:N1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2893-AAA7-405F-B1F4-8EAD73729E66}">
  <dimension ref="A1:N17"/>
  <sheetViews>
    <sheetView workbookViewId="0">
      <selection sqref="A1:N1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A2" t="s">
        <v>19</v>
      </c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7480-5FB5-49FF-AF73-7732C20EB76E}">
  <dimension ref="A1:N17"/>
  <sheetViews>
    <sheetView workbookViewId="0">
      <selection sqref="A1:N1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3088-F8E7-4F63-A436-8F299CE2BA1B}">
  <dimension ref="A1:N17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C603-A2EB-4859-B4C1-0D5459A1371C}">
  <dimension ref="A1:N17"/>
  <sheetViews>
    <sheetView workbookViewId="0">
      <selection activeCell="K2" sqref="K2:M2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8.5703125" bestFit="1" customWidth="1"/>
    <col min="12" max="12" width="10.28515625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FF7F-6D28-45C2-A705-A8B7C1EF840C}">
  <dimension ref="A1:N17"/>
  <sheetViews>
    <sheetView workbookViewId="0">
      <selection sqref="A1:XFD1048576"/>
    </sheetView>
  </sheetViews>
  <sheetFormatPr defaultRowHeight="15" x14ac:dyDescent="0.25"/>
  <cols>
    <col min="1" max="1" width="22.570312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A2" t="s">
        <v>19</v>
      </c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A134-FA38-48E5-A361-23D55B9F0D26}">
  <dimension ref="A1:N17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5B8A-BD79-4B79-8F6F-08A8F0032A36}">
  <dimension ref="A1:T87"/>
  <sheetViews>
    <sheetView tabSelected="1" topLeftCell="A58" workbookViewId="0">
      <selection activeCell="M77" sqref="M77:M87"/>
    </sheetView>
  </sheetViews>
  <sheetFormatPr defaultRowHeight="15" x14ac:dyDescent="0.25"/>
  <cols>
    <col min="1" max="1" width="23" bestFit="1" customWidth="1"/>
    <col min="2" max="2" width="24.14062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8.42578125" bestFit="1" customWidth="1"/>
    <col min="7" max="7" width="4.7109375" bestFit="1" customWidth="1"/>
    <col min="8" max="8" width="16" bestFit="1" customWidth="1"/>
    <col min="9" max="9" width="29.85546875" bestFit="1" customWidth="1"/>
    <col min="10" max="10" width="15" bestFit="1" customWidth="1"/>
    <col min="11" max="11" width="4.85546875" bestFit="1" customWidth="1"/>
    <col min="12" max="12" width="6" bestFit="1" customWidth="1"/>
    <col min="13" max="13" width="16.28515625" bestFit="1" customWidth="1"/>
    <col min="14" max="14" width="75.140625" customWidth="1"/>
  </cols>
  <sheetData>
    <row r="1" spans="1:20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20" x14ac:dyDescent="0.25">
      <c r="A2" t="s">
        <v>0</v>
      </c>
      <c r="B2" s="1">
        <v>2273827212</v>
      </c>
      <c r="C2" s="4" t="s">
        <v>54</v>
      </c>
      <c r="D2" s="2"/>
      <c r="E2" s="2"/>
      <c r="H2" s="3">
        <v>46120</v>
      </c>
      <c r="I2" t="s">
        <v>18</v>
      </c>
      <c r="M2" s="6" t="s">
        <v>135</v>
      </c>
    </row>
    <row r="3" spans="1:20" x14ac:dyDescent="0.25">
      <c r="A3" t="s">
        <v>22</v>
      </c>
      <c r="B3" t="s">
        <v>7</v>
      </c>
      <c r="C3" t="s">
        <v>62</v>
      </c>
      <c r="D3">
        <v>382357</v>
      </c>
      <c r="E3" s="2"/>
      <c r="F3" s="3"/>
      <c r="G3" t="s">
        <v>6</v>
      </c>
      <c r="M3" s="7" t="s">
        <v>136</v>
      </c>
    </row>
    <row r="4" spans="1:20" x14ac:dyDescent="0.25">
      <c r="A4" t="s">
        <v>22</v>
      </c>
      <c r="B4" t="s">
        <v>38</v>
      </c>
      <c r="E4" s="2"/>
      <c r="F4" s="2"/>
      <c r="G4" t="s">
        <v>6</v>
      </c>
      <c r="M4" s="7" t="s">
        <v>139</v>
      </c>
    </row>
    <row r="5" spans="1:20" x14ac:dyDescent="0.25">
      <c r="A5" t="s">
        <v>22</v>
      </c>
      <c r="B5" t="s">
        <v>7</v>
      </c>
      <c r="C5" t="s">
        <v>62</v>
      </c>
      <c r="D5">
        <v>304155</v>
      </c>
      <c r="E5" s="2"/>
      <c r="F5" s="2"/>
      <c r="G5" t="s">
        <v>6</v>
      </c>
      <c r="M5" s="7" t="s">
        <v>137</v>
      </c>
      <c r="N5" t="s">
        <v>222</v>
      </c>
    </row>
    <row r="6" spans="1:20" x14ac:dyDescent="0.25">
      <c r="A6" t="s">
        <v>22</v>
      </c>
      <c r="B6" t="s">
        <v>38</v>
      </c>
      <c r="E6" s="2"/>
      <c r="F6" s="2"/>
      <c r="G6" t="s">
        <v>6</v>
      </c>
      <c r="M6" s="7" t="s">
        <v>140</v>
      </c>
    </row>
    <row r="7" spans="1:20" x14ac:dyDescent="0.25">
      <c r="A7" t="s">
        <v>22</v>
      </c>
      <c r="B7" t="s">
        <v>7</v>
      </c>
      <c r="C7" t="s">
        <v>62</v>
      </c>
      <c r="D7">
        <v>382373</v>
      </c>
      <c r="E7" s="2"/>
      <c r="F7" s="2"/>
      <c r="G7" t="s">
        <v>6</v>
      </c>
      <c r="M7" s="7" t="s">
        <v>138</v>
      </c>
      <c r="T7" s="2"/>
    </row>
    <row r="8" spans="1:20" x14ac:dyDescent="0.25">
      <c r="A8" t="s">
        <v>22</v>
      </c>
      <c r="B8" t="s">
        <v>38</v>
      </c>
      <c r="E8" s="2"/>
      <c r="F8" s="2"/>
      <c r="G8" t="s">
        <v>6</v>
      </c>
      <c r="M8" s="7" t="s">
        <v>141</v>
      </c>
      <c r="T8" s="2"/>
    </row>
    <row r="9" spans="1:20" x14ac:dyDescent="0.25">
      <c r="A9" t="s">
        <v>22</v>
      </c>
      <c r="B9" t="s">
        <v>7</v>
      </c>
      <c r="C9" t="s">
        <v>62</v>
      </c>
      <c r="D9">
        <v>337145</v>
      </c>
      <c r="E9" s="2" t="s">
        <v>6</v>
      </c>
      <c r="F9" s="2"/>
      <c r="M9" s="7" t="s">
        <v>142</v>
      </c>
      <c r="T9" s="2"/>
    </row>
    <row r="10" spans="1:20" x14ac:dyDescent="0.25">
      <c r="A10" t="s">
        <v>22</v>
      </c>
      <c r="B10" t="s">
        <v>38</v>
      </c>
      <c r="E10" s="2" t="s">
        <v>6</v>
      </c>
      <c r="F10" s="2"/>
      <c r="M10" s="7" t="s">
        <v>144</v>
      </c>
      <c r="T10" s="2"/>
    </row>
    <row r="11" spans="1:20" x14ac:dyDescent="0.25">
      <c r="A11" t="s">
        <v>22</v>
      </c>
      <c r="B11" t="s">
        <v>7</v>
      </c>
      <c r="C11" t="s">
        <v>62</v>
      </c>
      <c r="D11">
        <v>370632</v>
      </c>
      <c r="E11" s="2" t="s">
        <v>6</v>
      </c>
      <c r="F11" s="2"/>
      <c r="M11" s="7" t="s">
        <v>143</v>
      </c>
      <c r="T11" s="2"/>
    </row>
    <row r="12" spans="1:20" x14ac:dyDescent="0.25">
      <c r="A12" t="s">
        <v>22</v>
      </c>
      <c r="B12" t="s">
        <v>38</v>
      </c>
      <c r="E12" s="2" t="s">
        <v>6</v>
      </c>
      <c r="F12" s="2"/>
      <c r="M12" s="7" t="s">
        <v>146</v>
      </c>
      <c r="T12" s="2"/>
    </row>
    <row r="13" spans="1:20" x14ac:dyDescent="0.25">
      <c r="A13" t="s">
        <v>22</v>
      </c>
      <c r="B13" t="s">
        <v>7</v>
      </c>
      <c r="C13" t="s">
        <v>62</v>
      </c>
      <c r="D13">
        <v>378940</v>
      </c>
      <c r="E13" s="2" t="s">
        <v>6</v>
      </c>
      <c r="F13" s="2"/>
      <c r="M13" s="7" t="s">
        <v>145</v>
      </c>
      <c r="T13" s="2"/>
    </row>
    <row r="14" spans="1:20" x14ac:dyDescent="0.25">
      <c r="A14" t="s">
        <v>22</v>
      </c>
      <c r="B14" t="s">
        <v>38</v>
      </c>
      <c r="C14" s="2"/>
      <c r="E14" s="2" t="s">
        <v>6</v>
      </c>
      <c r="F14" s="2"/>
      <c r="M14" s="7" t="s">
        <v>147</v>
      </c>
      <c r="T14" s="2"/>
    </row>
    <row r="15" spans="1:20" x14ac:dyDescent="0.25">
      <c r="A15" t="s">
        <v>22</v>
      </c>
      <c r="B15" t="s">
        <v>7</v>
      </c>
      <c r="C15" t="s">
        <v>62</v>
      </c>
      <c r="D15">
        <v>398699</v>
      </c>
      <c r="E15" s="2"/>
      <c r="F15" s="2"/>
      <c r="G15" t="s">
        <v>6</v>
      </c>
      <c r="M15" s="7" t="s">
        <v>246</v>
      </c>
      <c r="T15" s="2"/>
    </row>
    <row r="16" spans="1:20" x14ac:dyDescent="0.25">
      <c r="A16" t="s">
        <v>22</v>
      </c>
      <c r="B16" t="s">
        <v>38</v>
      </c>
      <c r="C16" s="2"/>
      <c r="D16" s="2"/>
      <c r="E16" s="2"/>
      <c r="F16" s="2"/>
      <c r="M16" s="7" t="s">
        <v>247</v>
      </c>
      <c r="T16" s="2"/>
    </row>
    <row r="17" spans="1:20" x14ac:dyDescent="0.25">
      <c r="A17" t="s">
        <v>22</v>
      </c>
      <c r="B17" t="s">
        <v>9</v>
      </c>
      <c r="C17" t="s">
        <v>61</v>
      </c>
      <c r="D17" t="s">
        <v>215</v>
      </c>
      <c r="E17" s="2"/>
      <c r="F17" s="2"/>
      <c r="G17" t="s">
        <v>6</v>
      </c>
      <c r="M17" s="7" t="s">
        <v>76</v>
      </c>
      <c r="T17" s="2"/>
    </row>
    <row r="18" spans="1:20" x14ac:dyDescent="0.25">
      <c r="A18" t="s">
        <v>22</v>
      </c>
      <c r="B18" t="s">
        <v>39</v>
      </c>
      <c r="C18" s="2"/>
      <c r="E18" s="2"/>
      <c r="F18" s="2"/>
      <c r="G18" t="s">
        <v>6</v>
      </c>
      <c r="M18" s="7" t="s">
        <v>93</v>
      </c>
      <c r="T18" s="2"/>
    </row>
    <row r="19" spans="1:20" x14ac:dyDescent="0.25">
      <c r="A19" t="s">
        <v>22</v>
      </c>
      <c r="B19" t="s">
        <v>9</v>
      </c>
      <c r="C19" t="s">
        <v>61</v>
      </c>
      <c r="D19" t="s">
        <v>216</v>
      </c>
      <c r="E19" s="2"/>
      <c r="F19" s="2"/>
      <c r="G19" t="s">
        <v>6</v>
      </c>
      <c r="M19" s="7" t="s">
        <v>77</v>
      </c>
      <c r="T19" s="2"/>
    </row>
    <row r="20" spans="1:20" x14ac:dyDescent="0.25">
      <c r="A20" t="s">
        <v>22</v>
      </c>
      <c r="B20" t="s">
        <v>39</v>
      </c>
      <c r="G20" t="s">
        <v>6</v>
      </c>
      <c r="M20" s="7" t="s">
        <v>78</v>
      </c>
    </row>
    <row r="21" spans="1:20" x14ac:dyDescent="0.25">
      <c r="A21" t="s">
        <v>22</v>
      </c>
      <c r="B21" t="s">
        <v>9</v>
      </c>
      <c r="C21" t="s">
        <v>61</v>
      </c>
      <c r="D21" t="s">
        <v>217</v>
      </c>
      <c r="G21" t="s">
        <v>6</v>
      </c>
      <c r="M21" s="7" t="s">
        <v>148</v>
      </c>
    </row>
    <row r="22" spans="1:20" x14ac:dyDescent="0.25">
      <c r="A22" t="s">
        <v>22</v>
      </c>
      <c r="B22" t="s">
        <v>39</v>
      </c>
      <c r="G22" t="s">
        <v>6</v>
      </c>
      <c r="M22" s="7" t="s">
        <v>149</v>
      </c>
    </row>
    <row r="23" spans="1:20" x14ac:dyDescent="0.25">
      <c r="A23" t="s">
        <v>22</v>
      </c>
      <c r="B23" t="s">
        <v>9</v>
      </c>
      <c r="D23" t="s">
        <v>218</v>
      </c>
      <c r="M23" s="7" t="s">
        <v>248</v>
      </c>
    </row>
    <row r="24" spans="1:20" x14ac:dyDescent="0.25">
      <c r="A24" t="s">
        <v>22</v>
      </c>
      <c r="B24" t="s">
        <v>39</v>
      </c>
      <c r="M24" s="7" t="s">
        <v>249</v>
      </c>
    </row>
    <row r="25" spans="1:20" x14ac:dyDescent="0.25">
      <c r="A25" t="s">
        <v>22</v>
      </c>
      <c r="B25" t="s">
        <v>10</v>
      </c>
      <c r="D25" s="2" t="s">
        <v>221</v>
      </c>
      <c r="E25" t="s">
        <v>6</v>
      </c>
      <c r="M25" s="7" t="s">
        <v>150</v>
      </c>
    </row>
    <row r="26" spans="1:20" x14ac:dyDescent="0.25">
      <c r="A26" t="s">
        <v>22</v>
      </c>
      <c r="B26" t="s">
        <v>40</v>
      </c>
      <c r="D26" s="2"/>
      <c r="E26" t="s">
        <v>6</v>
      </c>
      <c r="M26" s="7" t="s">
        <v>151</v>
      </c>
    </row>
    <row r="27" spans="1:20" x14ac:dyDescent="0.25">
      <c r="A27" t="s">
        <v>22</v>
      </c>
      <c r="B27" t="s">
        <v>10</v>
      </c>
      <c r="D27" s="2" t="s">
        <v>219</v>
      </c>
      <c r="E27" t="s">
        <v>6</v>
      </c>
      <c r="M27" s="7" t="s">
        <v>152</v>
      </c>
    </row>
    <row r="28" spans="1:20" x14ac:dyDescent="0.25">
      <c r="A28" t="s">
        <v>22</v>
      </c>
      <c r="B28" t="s">
        <v>40</v>
      </c>
      <c r="D28" s="2"/>
      <c r="E28" t="s">
        <v>6</v>
      </c>
      <c r="M28" s="7" t="s">
        <v>153</v>
      </c>
    </row>
    <row r="29" spans="1:20" x14ac:dyDescent="0.25">
      <c r="A29" t="s">
        <v>22</v>
      </c>
      <c r="B29" t="s">
        <v>10</v>
      </c>
      <c r="D29" s="2" t="s">
        <v>220</v>
      </c>
      <c r="E29" t="s">
        <v>6</v>
      </c>
      <c r="M29" s="7" t="s">
        <v>154</v>
      </c>
    </row>
    <row r="30" spans="1:20" x14ac:dyDescent="0.25">
      <c r="A30" t="s">
        <v>22</v>
      </c>
      <c r="B30" t="s">
        <v>40</v>
      </c>
      <c r="E30" t="s">
        <v>6</v>
      </c>
      <c r="M30" s="7" t="s">
        <v>155</v>
      </c>
    </row>
    <row r="31" spans="1:20" x14ac:dyDescent="0.25">
      <c r="A31" t="s">
        <v>23</v>
      </c>
      <c r="B31" t="s">
        <v>25</v>
      </c>
      <c r="D31">
        <v>3235896</v>
      </c>
      <c r="E31" t="s">
        <v>6</v>
      </c>
      <c r="M31" s="7" t="s">
        <v>156</v>
      </c>
    </row>
    <row r="32" spans="1:20" x14ac:dyDescent="0.25">
      <c r="A32" t="s">
        <v>23</v>
      </c>
      <c r="B32" t="s">
        <v>41</v>
      </c>
      <c r="E32" t="s">
        <v>6</v>
      </c>
      <c r="M32" s="7" t="s">
        <v>157</v>
      </c>
    </row>
    <row r="33" spans="1:13" x14ac:dyDescent="0.25">
      <c r="A33" t="s">
        <v>23</v>
      </c>
      <c r="B33" t="s">
        <v>45</v>
      </c>
      <c r="E33" t="s">
        <v>6</v>
      </c>
      <c r="M33" s="7" t="s">
        <v>158</v>
      </c>
    </row>
    <row r="34" spans="1:13" x14ac:dyDescent="0.25">
      <c r="A34" t="s">
        <v>23</v>
      </c>
      <c r="B34" t="s">
        <v>44</v>
      </c>
      <c r="E34" t="s">
        <v>6</v>
      </c>
      <c r="M34" s="7" t="s">
        <v>159</v>
      </c>
    </row>
    <row r="35" spans="1:13" x14ac:dyDescent="0.25">
      <c r="A35" t="s">
        <v>23</v>
      </c>
      <c r="B35" t="s">
        <v>211</v>
      </c>
      <c r="E35" t="s">
        <v>6</v>
      </c>
      <c r="M35" s="7" t="s">
        <v>160</v>
      </c>
    </row>
    <row r="36" spans="1:13" x14ac:dyDescent="0.25">
      <c r="A36" t="s">
        <v>24</v>
      </c>
      <c r="B36" t="s">
        <v>28</v>
      </c>
      <c r="D36">
        <v>2438000555</v>
      </c>
      <c r="G36" t="s">
        <v>6</v>
      </c>
      <c r="M36" s="7" t="s">
        <v>161</v>
      </c>
    </row>
    <row r="37" spans="1:13" x14ac:dyDescent="0.25">
      <c r="A37" t="s">
        <v>24</v>
      </c>
      <c r="B37" t="s">
        <v>33</v>
      </c>
      <c r="E37" t="s">
        <v>6</v>
      </c>
      <c r="M37" s="7" t="s">
        <v>162</v>
      </c>
    </row>
    <row r="38" spans="1:13" x14ac:dyDescent="0.25">
      <c r="A38" t="s">
        <v>24</v>
      </c>
      <c r="B38" t="s">
        <v>34</v>
      </c>
      <c r="E38" t="s">
        <v>6</v>
      </c>
      <c r="M38" s="7" t="s">
        <v>163</v>
      </c>
    </row>
    <row r="39" spans="1:13" x14ac:dyDescent="0.25">
      <c r="A39" t="s">
        <v>24</v>
      </c>
      <c r="B39" t="s">
        <v>28</v>
      </c>
      <c r="D39">
        <v>2438000525</v>
      </c>
      <c r="E39" t="s">
        <v>6</v>
      </c>
      <c r="M39" s="7" t="s">
        <v>164</v>
      </c>
    </row>
    <row r="40" spans="1:13" x14ac:dyDescent="0.25">
      <c r="A40" t="s">
        <v>24</v>
      </c>
      <c r="B40" t="s">
        <v>33</v>
      </c>
      <c r="E40" t="s">
        <v>6</v>
      </c>
      <c r="M40" s="7" t="s">
        <v>166</v>
      </c>
    </row>
    <row r="41" spans="1:13" x14ac:dyDescent="0.25">
      <c r="A41" t="s">
        <v>24</v>
      </c>
      <c r="B41" t="s">
        <v>34</v>
      </c>
      <c r="D41" t="s">
        <v>223</v>
      </c>
      <c r="E41" t="s">
        <v>6</v>
      </c>
      <c r="M41" s="7" t="s">
        <v>167</v>
      </c>
    </row>
    <row r="42" spans="1:13" x14ac:dyDescent="0.25">
      <c r="A42" t="s">
        <v>24</v>
      </c>
      <c r="B42" t="s">
        <v>28</v>
      </c>
      <c r="E42" t="s">
        <v>6</v>
      </c>
      <c r="M42" s="7" t="s">
        <v>165</v>
      </c>
    </row>
    <row r="43" spans="1:13" x14ac:dyDescent="0.25">
      <c r="A43" t="s">
        <v>24</v>
      </c>
      <c r="B43" t="s">
        <v>33</v>
      </c>
      <c r="E43" t="s">
        <v>6</v>
      </c>
      <c r="M43" s="7" t="s">
        <v>168</v>
      </c>
    </row>
    <row r="44" spans="1:13" x14ac:dyDescent="0.25">
      <c r="A44" t="s">
        <v>24</v>
      </c>
      <c r="B44" t="s">
        <v>34</v>
      </c>
      <c r="E44" t="s">
        <v>6</v>
      </c>
      <c r="M44" s="7" t="s">
        <v>169</v>
      </c>
    </row>
    <row r="45" spans="1:13" x14ac:dyDescent="0.25">
      <c r="A45" t="s">
        <v>224</v>
      </c>
      <c r="B45" t="s">
        <v>226</v>
      </c>
      <c r="D45" t="s">
        <v>225</v>
      </c>
      <c r="M45" s="7" t="s">
        <v>243</v>
      </c>
    </row>
    <row r="46" spans="1:13" x14ac:dyDescent="0.25">
      <c r="B46" t="s">
        <v>227</v>
      </c>
      <c r="M46" s="7" t="s">
        <v>244</v>
      </c>
    </row>
    <row r="47" spans="1:13" x14ac:dyDescent="0.25">
      <c r="B47" t="s">
        <v>228</v>
      </c>
      <c r="M47" s="7" t="s">
        <v>245</v>
      </c>
    </row>
    <row r="48" spans="1:13" x14ac:dyDescent="0.25">
      <c r="B48" t="s">
        <v>20</v>
      </c>
      <c r="M48" s="7" t="s">
        <v>170</v>
      </c>
    </row>
    <row r="49" spans="2:13" x14ac:dyDescent="0.25">
      <c r="B49" t="s">
        <v>20</v>
      </c>
      <c r="M49" s="7" t="s">
        <v>171</v>
      </c>
    </row>
    <row r="50" spans="2:13" x14ac:dyDescent="0.25">
      <c r="B50" t="s">
        <v>20</v>
      </c>
      <c r="M50" s="7" t="s">
        <v>172</v>
      </c>
    </row>
    <row r="51" spans="2:13" x14ac:dyDescent="0.25">
      <c r="B51" t="s">
        <v>20</v>
      </c>
      <c r="M51" s="7" t="s">
        <v>173</v>
      </c>
    </row>
    <row r="52" spans="2:13" x14ac:dyDescent="0.25">
      <c r="B52" t="s">
        <v>20</v>
      </c>
      <c r="M52" s="7" t="s">
        <v>174</v>
      </c>
    </row>
    <row r="53" spans="2:13" x14ac:dyDescent="0.25">
      <c r="B53" t="s">
        <v>20</v>
      </c>
      <c r="M53" s="7" t="s">
        <v>175</v>
      </c>
    </row>
    <row r="54" spans="2:13" x14ac:dyDescent="0.25">
      <c r="B54" t="s">
        <v>20</v>
      </c>
      <c r="M54" s="7" t="s">
        <v>176</v>
      </c>
    </row>
    <row r="55" spans="2:13" x14ac:dyDescent="0.25">
      <c r="B55" t="s">
        <v>20</v>
      </c>
      <c r="I55">
        <f>1/8</f>
        <v>0.125</v>
      </c>
      <c r="M55" s="7" t="s">
        <v>177</v>
      </c>
    </row>
    <row r="56" spans="2:13" x14ac:dyDescent="0.25">
      <c r="B56" t="s">
        <v>20</v>
      </c>
      <c r="M56" s="7" t="s">
        <v>178</v>
      </c>
    </row>
    <row r="57" spans="2:13" x14ac:dyDescent="0.25">
      <c r="B57" t="s">
        <v>20</v>
      </c>
      <c r="M57" s="7" t="s">
        <v>179</v>
      </c>
    </row>
    <row r="58" spans="2:13" x14ac:dyDescent="0.25">
      <c r="B58" t="s">
        <v>235</v>
      </c>
      <c r="M58" s="7" t="s">
        <v>118</v>
      </c>
    </row>
    <row r="59" spans="2:13" x14ac:dyDescent="0.25">
      <c r="B59" t="s">
        <v>236</v>
      </c>
      <c r="M59" s="7" t="s">
        <v>180</v>
      </c>
    </row>
    <row r="60" spans="2:13" x14ac:dyDescent="0.25">
      <c r="B60" t="s">
        <v>237</v>
      </c>
      <c r="M60" s="7" t="s">
        <v>181</v>
      </c>
    </row>
    <row r="61" spans="2:13" x14ac:dyDescent="0.25">
      <c r="B61" t="s">
        <v>238</v>
      </c>
      <c r="M61" s="7" t="s">
        <v>182</v>
      </c>
    </row>
    <row r="62" spans="2:13" x14ac:dyDescent="0.25">
      <c r="B62" t="s">
        <v>239</v>
      </c>
      <c r="M62" s="7" t="s">
        <v>183</v>
      </c>
    </row>
    <row r="63" spans="2:13" x14ac:dyDescent="0.25">
      <c r="B63" t="s">
        <v>240</v>
      </c>
      <c r="M63" s="7" t="s">
        <v>229</v>
      </c>
    </row>
    <row r="64" spans="2:13" x14ac:dyDescent="0.25">
      <c r="B64" t="s">
        <v>241</v>
      </c>
      <c r="M64" s="7" t="s">
        <v>230</v>
      </c>
    </row>
    <row r="65" spans="1:13" x14ac:dyDescent="0.25">
      <c r="B65" t="s">
        <v>242</v>
      </c>
      <c r="M65" s="7" t="s">
        <v>231</v>
      </c>
    </row>
    <row r="66" spans="1:13" x14ac:dyDescent="0.25">
      <c r="B66" t="s">
        <v>32</v>
      </c>
      <c r="M66" s="7" t="s">
        <v>184</v>
      </c>
    </row>
    <row r="67" spans="1:13" x14ac:dyDescent="0.25">
      <c r="B67" t="s">
        <v>35</v>
      </c>
      <c r="M67" s="7" t="s">
        <v>185</v>
      </c>
    </row>
    <row r="68" spans="1:13" x14ac:dyDescent="0.25">
      <c r="B68" t="s">
        <v>35</v>
      </c>
      <c r="M68" s="7" t="s">
        <v>186</v>
      </c>
    </row>
    <row r="69" spans="1:13" x14ac:dyDescent="0.25">
      <c r="B69" t="s">
        <v>36</v>
      </c>
      <c r="M69" s="7" t="s">
        <v>187</v>
      </c>
    </row>
    <row r="70" spans="1:13" x14ac:dyDescent="0.25">
      <c r="B70" t="s">
        <v>36</v>
      </c>
      <c r="M70" s="7" t="s">
        <v>188</v>
      </c>
    </row>
    <row r="71" spans="1:13" x14ac:dyDescent="0.25">
      <c r="B71" t="s">
        <v>36</v>
      </c>
      <c r="M71" s="7" t="s">
        <v>189</v>
      </c>
    </row>
    <row r="72" spans="1:13" x14ac:dyDescent="0.25">
      <c r="B72" t="s">
        <v>37</v>
      </c>
      <c r="M72" s="7" t="s">
        <v>190</v>
      </c>
    </row>
    <row r="73" spans="1:13" x14ac:dyDescent="0.25">
      <c r="B73" t="s">
        <v>37</v>
      </c>
      <c r="M73" s="7" t="s">
        <v>191</v>
      </c>
    </row>
    <row r="74" spans="1:13" x14ac:dyDescent="0.25">
      <c r="B74" t="s">
        <v>232</v>
      </c>
      <c r="M74" s="7" t="s">
        <v>210</v>
      </c>
    </row>
    <row r="75" spans="1:13" x14ac:dyDescent="0.25">
      <c r="B75" t="s">
        <v>232</v>
      </c>
      <c r="M75" s="7" t="s">
        <v>233</v>
      </c>
    </row>
    <row r="76" spans="1:13" x14ac:dyDescent="0.25">
      <c r="B76" t="s">
        <v>57</v>
      </c>
      <c r="M76" s="7" t="s">
        <v>234</v>
      </c>
    </row>
    <row r="77" spans="1:13" x14ac:dyDescent="0.25">
      <c r="A77" t="s">
        <v>59</v>
      </c>
      <c r="B77" t="s">
        <v>58</v>
      </c>
      <c r="M77" s="7" t="s">
        <v>134</v>
      </c>
    </row>
    <row r="78" spans="1:13" x14ac:dyDescent="0.25">
      <c r="A78" t="s">
        <v>59</v>
      </c>
      <c r="B78" t="s">
        <v>192</v>
      </c>
      <c r="M78" s="7" t="s">
        <v>198</v>
      </c>
    </row>
    <row r="79" spans="1:13" x14ac:dyDescent="0.25">
      <c r="A79" t="s">
        <v>59</v>
      </c>
      <c r="B79" t="s">
        <v>192</v>
      </c>
      <c r="M79" s="7" t="s">
        <v>199</v>
      </c>
    </row>
    <row r="80" spans="1:13" x14ac:dyDescent="0.25">
      <c r="A80" t="s">
        <v>59</v>
      </c>
      <c r="B80" t="s">
        <v>192</v>
      </c>
      <c r="M80" s="7" t="s">
        <v>200</v>
      </c>
    </row>
    <row r="81" spans="1:13" x14ac:dyDescent="0.25">
      <c r="A81" t="s">
        <v>59</v>
      </c>
      <c r="B81" t="s">
        <v>193</v>
      </c>
      <c r="M81" s="7" t="s">
        <v>201</v>
      </c>
    </row>
    <row r="82" spans="1:13" x14ac:dyDescent="0.25">
      <c r="A82" t="s">
        <v>59</v>
      </c>
      <c r="B82" t="s">
        <v>194</v>
      </c>
      <c r="M82" s="7" t="s">
        <v>202</v>
      </c>
    </row>
    <row r="83" spans="1:13" x14ac:dyDescent="0.25">
      <c r="A83" t="s">
        <v>59</v>
      </c>
      <c r="B83" t="s">
        <v>195</v>
      </c>
      <c r="M83" s="7" t="s">
        <v>203</v>
      </c>
    </row>
    <row r="84" spans="1:13" x14ac:dyDescent="0.25">
      <c r="A84" t="s">
        <v>59</v>
      </c>
      <c r="B84" t="s">
        <v>196</v>
      </c>
      <c r="M84" s="7" t="s">
        <v>204</v>
      </c>
    </row>
    <row r="85" spans="1:13" x14ac:dyDescent="0.25">
      <c r="A85" t="s">
        <v>59</v>
      </c>
      <c r="B85" t="s">
        <v>197</v>
      </c>
      <c r="M85" s="7" t="s">
        <v>205</v>
      </c>
    </row>
    <row r="86" spans="1:13" x14ac:dyDescent="0.25">
      <c r="A86" t="s">
        <v>59</v>
      </c>
      <c r="B86" t="s">
        <v>206</v>
      </c>
      <c r="M86" s="7" t="s">
        <v>208</v>
      </c>
    </row>
    <row r="87" spans="1:13" x14ac:dyDescent="0.25">
      <c r="A87" t="s">
        <v>59</v>
      </c>
      <c r="B87" t="s">
        <v>207</v>
      </c>
      <c r="M87" s="7" t="s">
        <v>209</v>
      </c>
    </row>
  </sheetData>
  <sortState xmlns:xlrd2="http://schemas.microsoft.com/office/spreadsheetml/2017/richdata2" ref="T7:T19">
    <sortCondition ref="T7:T19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0A05-4B42-4F59-BF9D-5D8868C670E6}">
  <dimension ref="A1:N17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9875-3967-4E9A-BD31-BF9527E68162}">
  <dimension ref="A1:N17"/>
  <sheetViews>
    <sheetView workbookViewId="0">
      <selection activeCell="S10" sqref="S10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41E0-F45B-46DD-8C13-8558828EB830}">
  <dimension ref="A1:O69"/>
  <sheetViews>
    <sheetView workbookViewId="0">
      <pane ySplit="1" topLeftCell="A2" activePane="bottomLeft" state="frozen"/>
      <selection pane="bottomLeft" activeCell="P55" sqref="P55"/>
    </sheetView>
  </sheetViews>
  <sheetFormatPr defaultRowHeight="15" x14ac:dyDescent="0.25"/>
  <cols>
    <col min="1" max="1" width="12.85546875" bestFit="1" customWidth="1"/>
    <col min="2" max="2" width="24.140625" bestFit="1" customWidth="1"/>
    <col min="3" max="3" width="23" customWidth="1"/>
    <col min="4" max="4" width="13.7109375" bestFit="1" customWidth="1"/>
    <col min="5" max="7" width="9.140625" style="2"/>
    <col min="8" max="8" width="16" style="2" bestFit="1" customWidth="1"/>
    <col min="9" max="9" width="29.85546875" bestFit="1" customWidth="1"/>
    <col min="10" max="10" width="29.85546875" customWidth="1"/>
    <col min="11" max="11" width="7.5703125" customWidth="1"/>
    <col min="13" max="13" width="16.28515625" bestFit="1" customWidth="1"/>
    <col min="14" max="14" width="38.28515625" bestFit="1" customWidth="1"/>
  </cols>
  <sheetData>
    <row r="1" spans="1:15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  <c r="O1" t="s">
        <v>212</v>
      </c>
    </row>
    <row r="2" spans="1:15" x14ac:dyDescent="0.25">
      <c r="A2" t="s">
        <v>22</v>
      </c>
      <c r="B2" t="s">
        <v>26</v>
      </c>
      <c r="C2" s="4" t="s">
        <v>54</v>
      </c>
      <c r="D2" s="1">
        <v>2273827212</v>
      </c>
      <c r="H2" s="3">
        <v>46155</v>
      </c>
      <c r="I2" t="s">
        <v>18</v>
      </c>
      <c r="J2" t="s">
        <v>47</v>
      </c>
      <c r="K2">
        <v>1995</v>
      </c>
      <c r="L2">
        <v>1995</v>
      </c>
      <c r="M2" s="6" t="s">
        <v>132</v>
      </c>
      <c r="N2" t="s">
        <v>56</v>
      </c>
      <c r="O2" t="s">
        <v>213</v>
      </c>
    </row>
    <row r="3" spans="1:15" x14ac:dyDescent="0.25">
      <c r="A3" t="s">
        <v>22</v>
      </c>
      <c r="B3" t="s">
        <v>26</v>
      </c>
      <c r="C3" s="4" t="s">
        <v>54</v>
      </c>
      <c r="D3" s="1">
        <v>2273827200</v>
      </c>
      <c r="H3" s="3">
        <v>46155</v>
      </c>
      <c r="I3" t="s">
        <v>18</v>
      </c>
      <c r="J3" t="s">
        <v>47</v>
      </c>
      <c r="K3">
        <v>1995</v>
      </c>
      <c r="L3">
        <v>1995</v>
      </c>
      <c r="M3" s="6" t="s">
        <v>133</v>
      </c>
      <c r="N3" t="s">
        <v>55</v>
      </c>
      <c r="O3" t="s">
        <v>213</v>
      </c>
    </row>
    <row r="4" spans="1:15" x14ac:dyDescent="0.25">
      <c r="A4" t="s">
        <v>22</v>
      </c>
      <c r="B4" t="s">
        <v>7</v>
      </c>
      <c r="C4" t="s">
        <v>62</v>
      </c>
      <c r="D4" s="1">
        <v>381528</v>
      </c>
      <c r="E4" s="2" t="s">
        <v>6</v>
      </c>
      <c r="J4" t="s">
        <v>47</v>
      </c>
      <c r="K4">
        <f>3500+1600</f>
        <v>5100</v>
      </c>
      <c r="L4">
        <v>5470</v>
      </c>
      <c r="M4" s="6" t="s">
        <v>67</v>
      </c>
      <c r="O4" t="s">
        <v>213</v>
      </c>
    </row>
    <row r="5" spans="1:15" x14ac:dyDescent="0.25">
      <c r="A5" t="s">
        <v>22</v>
      </c>
      <c r="B5" t="s">
        <v>38</v>
      </c>
      <c r="D5" s="1"/>
      <c r="E5" s="2" t="s">
        <v>6</v>
      </c>
      <c r="J5" t="s">
        <v>47</v>
      </c>
      <c r="M5" s="6" t="s">
        <v>81</v>
      </c>
      <c r="O5" t="s">
        <v>213</v>
      </c>
    </row>
    <row r="6" spans="1:15" x14ac:dyDescent="0.25">
      <c r="A6" t="s">
        <v>22</v>
      </c>
      <c r="B6" t="s">
        <v>7</v>
      </c>
      <c r="C6" t="s">
        <v>62</v>
      </c>
      <c r="D6" s="1">
        <v>383869</v>
      </c>
      <c r="E6" s="2" t="s">
        <v>6</v>
      </c>
      <c r="J6" t="s">
        <v>47</v>
      </c>
      <c r="K6">
        <f>3500+1600</f>
        <v>5100</v>
      </c>
      <c r="L6">
        <v>5470</v>
      </c>
      <c r="M6" s="6" t="s">
        <v>68</v>
      </c>
      <c r="O6" t="s">
        <v>213</v>
      </c>
    </row>
    <row r="7" spans="1:15" x14ac:dyDescent="0.25">
      <c r="A7" t="s">
        <v>22</v>
      </c>
      <c r="B7" t="s">
        <v>38</v>
      </c>
      <c r="D7" s="1"/>
      <c r="E7" s="2" t="s">
        <v>6</v>
      </c>
      <c r="J7" t="s">
        <v>47</v>
      </c>
      <c r="M7" s="6" t="s">
        <v>83</v>
      </c>
      <c r="O7" t="s">
        <v>213</v>
      </c>
    </row>
    <row r="8" spans="1:15" x14ac:dyDescent="0.25">
      <c r="A8" t="s">
        <v>22</v>
      </c>
      <c r="B8" t="s">
        <v>7</v>
      </c>
      <c r="C8" t="s">
        <v>62</v>
      </c>
      <c r="D8" s="1">
        <v>396671</v>
      </c>
      <c r="E8" s="2" t="s">
        <v>6</v>
      </c>
      <c r="J8" t="s">
        <v>47</v>
      </c>
      <c r="K8">
        <f>3500+1600</f>
        <v>5100</v>
      </c>
      <c r="L8">
        <v>5470</v>
      </c>
      <c r="M8" s="6" t="s">
        <v>69</v>
      </c>
      <c r="O8" t="s">
        <v>213</v>
      </c>
    </row>
    <row r="9" spans="1:15" x14ac:dyDescent="0.25">
      <c r="A9" t="s">
        <v>22</v>
      </c>
      <c r="B9" t="s">
        <v>38</v>
      </c>
      <c r="D9" s="1"/>
      <c r="E9" s="2" t="s">
        <v>6</v>
      </c>
      <c r="J9" t="s">
        <v>47</v>
      </c>
      <c r="M9" s="6" t="s">
        <v>82</v>
      </c>
      <c r="O9" t="s">
        <v>213</v>
      </c>
    </row>
    <row r="10" spans="1:15" x14ac:dyDescent="0.25">
      <c r="A10" t="s">
        <v>22</v>
      </c>
      <c r="B10" t="s">
        <v>7</v>
      </c>
      <c r="C10" t="s">
        <v>62</v>
      </c>
      <c r="D10" s="1">
        <v>389335</v>
      </c>
      <c r="G10" s="2" t="s">
        <v>6</v>
      </c>
      <c r="J10" t="s">
        <v>47</v>
      </c>
      <c r="K10">
        <f>3500+1600</f>
        <v>5100</v>
      </c>
      <c r="L10">
        <v>5470</v>
      </c>
      <c r="M10" s="6" t="s">
        <v>64</v>
      </c>
      <c r="O10" t="s">
        <v>213</v>
      </c>
    </row>
    <row r="11" spans="1:15" x14ac:dyDescent="0.25">
      <c r="A11" t="s">
        <v>22</v>
      </c>
      <c r="B11" t="s">
        <v>38</v>
      </c>
      <c r="D11" s="1"/>
      <c r="G11" s="2" t="s">
        <v>6</v>
      </c>
      <c r="J11" t="s">
        <v>47</v>
      </c>
      <c r="M11" s="6" t="s">
        <v>84</v>
      </c>
      <c r="O11" t="s">
        <v>213</v>
      </c>
    </row>
    <row r="12" spans="1:15" x14ac:dyDescent="0.25">
      <c r="A12" t="s">
        <v>22</v>
      </c>
      <c r="B12" t="s">
        <v>7</v>
      </c>
      <c r="C12" t="s">
        <v>62</v>
      </c>
      <c r="D12" s="1">
        <v>389032</v>
      </c>
      <c r="G12" s="2" t="s">
        <v>6</v>
      </c>
      <c r="J12" t="s">
        <v>47</v>
      </c>
      <c r="K12">
        <f>3500+1600</f>
        <v>5100</v>
      </c>
      <c r="L12">
        <v>5470</v>
      </c>
      <c r="M12" s="6" t="s">
        <v>65</v>
      </c>
      <c r="O12" t="s">
        <v>213</v>
      </c>
    </row>
    <row r="13" spans="1:15" x14ac:dyDescent="0.25">
      <c r="A13" t="s">
        <v>22</v>
      </c>
      <c r="B13" t="s">
        <v>38</v>
      </c>
      <c r="D13" s="1"/>
      <c r="G13" s="2" t="s">
        <v>6</v>
      </c>
      <c r="J13" t="s">
        <v>47</v>
      </c>
      <c r="M13" s="6" t="s">
        <v>85</v>
      </c>
      <c r="O13" t="s">
        <v>213</v>
      </c>
    </row>
    <row r="14" spans="1:15" x14ac:dyDescent="0.25">
      <c r="A14" t="s">
        <v>22</v>
      </c>
      <c r="B14" t="s">
        <v>7</v>
      </c>
      <c r="C14" t="s">
        <v>62</v>
      </c>
      <c r="D14" s="1">
        <v>388902</v>
      </c>
      <c r="G14" s="2" t="s">
        <v>6</v>
      </c>
      <c r="J14" t="s">
        <v>47</v>
      </c>
      <c r="K14">
        <f>3500+1600</f>
        <v>5100</v>
      </c>
      <c r="L14">
        <v>5470</v>
      </c>
      <c r="M14" s="6" t="s">
        <v>66</v>
      </c>
      <c r="O14" t="s">
        <v>213</v>
      </c>
    </row>
    <row r="15" spans="1:15" x14ac:dyDescent="0.25">
      <c r="A15" t="s">
        <v>22</v>
      </c>
      <c r="B15" t="s">
        <v>38</v>
      </c>
      <c r="D15" s="1"/>
      <c r="G15" s="2" t="s">
        <v>6</v>
      </c>
      <c r="J15" t="s">
        <v>47</v>
      </c>
      <c r="M15" s="6" t="s">
        <v>86</v>
      </c>
      <c r="O15" t="s">
        <v>213</v>
      </c>
    </row>
    <row r="16" spans="1:15" x14ac:dyDescent="0.25">
      <c r="A16" t="s">
        <v>22</v>
      </c>
      <c r="B16" t="s">
        <v>9</v>
      </c>
      <c r="C16" t="s">
        <v>61</v>
      </c>
      <c r="D16" s="1" t="s">
        <v>15</v>
      </c>
      <c r="G16" s="2" t="s">
        <v>6</v>
      </c>
      <c r="J16" t="s">
        <v>47</v>
      </c>
      <c r="L16">
        <f>31378/2</f>
        <v>15689</v>
      </c>
      <c r="M16" s="6" t="s">
        <v>70</v>
      </c>
      <c r="O16" t="s">
        <v>213</v>
      </c>
    </row>
    <row r="17" spans="1:15" x14ac:dyDescent="0.25">
      <c r="A17" t="s">
        <v>22</v>
      </c>
      <c r="B17" t="s">
        <v>39</v>
      </c>
      <c r="D17" s="1"/>
      <c r="G17" s="2" t="s">
        <v>6</v>
      </c>
      <c r="J17" t="s">
        <v>47</v>
      </c>
      <c r="M17" s="6" t="s">
        <v>87</v>
      </c>
      <c r="O17" t="s">
        <v>213</v>
      </c>
    </row>
    <row r="18" spans="1:15" x14ac:dyDescent="0.25">
      <c r="A18" t="s">
        <v>22</v>
      </c>
      <c r="B18" t="s">
        <v>9</v>
      </c>
      <c r="C18" t="s">
        <v>61</v>
      </c>
      <c r="D18" s="1" t="s">
        <v>16</v>
      </c>
      <c r="G18" s="2" t="s">
        <v>6</v>
      </c>
      <c r="J18" t="s">
        <v>47</v>
      </c>
      <c r="L18">
        <f>31378/2</f>
        <v>15689</v>
      </c>
      <c r="M18" s="6" t="s">
        <v>71</v>
      </c>
      <c r="O18" t="s">
        <v>213</v>
      </c>
    </row>
    <row r="19" spans="1:15" x14ac:dyDescent="0.25">
      <c r="A19" t="s">
        <v>22</v>
      </c>
      <c r="B19" t="s">
        <v>39</v>
      </c>
      <c r="D19" s="1"/>
      <c r="G19" s="2" t="s">
        <v>6</v>
      </c>
      <c r="J19" t="s">
        <v>47</v>
      </c>
      <c r="M19" s="6" t="s">
        <v>88</v>
      </c>
      <c r="O19" t="s">
        <v>213</v>
      </c>
    </row>
    <row r="20" spans="1:15" x14ac:dyDescent="0.25">
      <c r="A20" t="s">
        <v>22</v>
      </c>
      <c r="B20" t="s">
        <v>9</v>
      </c>
      <c r="C20" t="s">
        <v>61</v>
      </c>
      <c r="D20" s="1" t="s">
        <v>16</v>
      </c>
      <c r="G20" s="2" t="s">
        <v>6</v>
      </c>
      <c r="J20" t="s">
        <v>47</v>
      </c>
      <c r="L20">
        <v>16500</v>
      </c>
      <c r="M20" s="6" t="s">
        <v>72</v>
      </c>
      <c r="O20" t="s">
        <v>213</v>
      </c>
    </row>
    <row r="21" spans="1:15" x14ac:dyDescent="0.25">
      <c r="A21" t="s">
        <v>22</v>
      </c>
      <c r="B21" t="s">
        <v>39</v>
      </c>
      <c r="D21" s="1"/>
      <c r="G21" s="2" t="s">
        <v>6</v>
      </c>
      <c r="J21" t="s">
        <v>47</v>
      </c>
      <c r="M21" s="6" t="s">
        <v>89</v>
      </c>
      <c r="O21" t="s">
        <v>213</v>
      </c>
    </row>
    <row r="22" spans="1:15" x14ac:dyDescent="0.25">
      <c r="A22" t="s">
        <v>22</v>
      </c>
      <c r="B22" t="s">
        <v>10</v>
      </c>
      <c r="D22" s="1" t="s">
        <v>11</v>
      </c>
      <c r="E22" s="2" t="s">
        <v>6</v>
      </c>
      <c r="J22" t="s">
        <v>47</v>
      </c>
      <c r="L22">
        <f>30522.62/2</f>
        <v>15261.31</v>
      </c>
      <c r="M22" s="6" t="s">
        <v>73</v>
      </c>
      <c r="O22" t="s">
        <v>213</v>
      </c>
    </row>
    <row r="23" spans="1:15" x14ac:dyDescent="0.25">
      <c r="A23" t="s">
        <v>22</v>
      </c>
      <c r="B23" t="s">
        <v>40</v>
      </c>
      <c r="D23" s="1"/>
      <c r="E23" s="2" t="s">
        <v>6</v>
      </c>
      <c r="J23" t="s">
        <v>47</v>
      </c>
      <c r="M23" s="6" t="s">
        <v>90</v>
      </c>
      <c r="O23" t="s">
        <v>213</v>
      </c>
    </row>
    <row r="24" spans="1:15" x14ac:dyDescent="0.25">
      <c r="A24" t="s">
        <v>22</v>
      </c>
      <c r="B24" t="s">
        <v>10</v>
      </c>
      <c r="D24" s="1" t="s">
        <v>12</v>
      </c>
      <c r="E24" s="2" t="s">
        <v>6</v>
      </c>
      <c r="J24" t="s">
        <v>47</v>
      </c>
      <c r="L24">
        <f>30522.62/2</f>
        <v>15261.31</v>
      </c>
      <c r="M24" s="6" t="s">
        <v>74</v>
      </c>
      <c r="O24" t="s">
        <v>213</v>
      </c>
    </row>
    <row r="25" spans="1:15" x14ac:dyDescent="0.25">
      <c r="A25" t="s">
        <v>22</v>
      </c>
      <c r="B25" t="s">
        <v>40</v>
      </c>
      <c r="D25" s="1"/>
      <c r="E25" s="2" t="s">
        <v>6</v>
      </c>
      <c r="J25" t="s">
        <v>47</v>
      </c>
      <c r="M25" s="6" t="s">
        <v>91</v>
      </c>
      <c r="O25" t="s">
        <v>213</v>
      </c>
    </row>
    <row r="26" spans="1:15" x14ac:dyDescent="0.25">
      <c r="A26" t="s">
        <v>22</v>
      </c>
      <c r="B26" t="s">
        <v>10</v>
      </c>
      <c r="D26" s="1" t="s">
        <v>13</v>
      </c>
      <c r="E26" s="2" t="s">
        <v>6</v>
      </c>
      <c r="J26" t="s">
        <v>47</v>
      </c>
      <c r="L26">
        <f>30522.62/2</f>
        <v>15261.31</v>
      </c>
      <c r="M26" s="6" t="s">
        <v>75</v>
      </c>
      <c r="O26" t="s">
        <v>213</v>
      </c>
    </row>
    <row r="27" spans="1:15" x14ac:dyDescent="0.25">
      <c r="A27" t="s">
        <v>22</v>
      </c>
      <c r="B27" t="s">
        <v>40</v>
      </c>
      <c r="D27" s="1"/>
      <c r="E27" s="2" t="s">
        <v>6</v>
      </c>
      <c r="J27" t="s">
        <v>47</v>
      </c>
      <c r="M27" s="6" t="s">
        <v>92</v>
      </c>
      <c r="O27" t="s">
        <v>213</v>
      </c>
    </row>
    <row r="28" spans="1:15" x14ac:dyDescent="0.25">
      <c r="A28" t="s">
        <v>23</v>
      </c>
      <c r="B28" t="s">
        <v>25</v>
      </c>
      <c r="C28" t="s">
        <v>63</v>
      </c>
      <c r="D28">
        <v>23223814134</v>
      </c>
      <c r="G28" s="2" t="s">
        <v>6</v>
      </c>
      <c r="J28" t="s">
        <v>47</v>
      </c>
      <c r="L28">
        <v>20053</v>
      </c>
      <c r="M28" s="6" t="s">
        <v>76</v>
      </c>
      <c r="O28" t="s">
        <v>213</v>
      </c>
    </row>
    <row r="29" spans="1:15" x14ac:dyDescent="0.25">
      <c r="A29" t="s">
        <v>23</v>
      </c>
      <c r="B29" t="s">
        <v>41</v>
      </c>
      <c r="D29" s="1"/>
      <c r="G29" s="2" t="s">
        <v>6</v>
      </c>
      <c r="J29" t="s">
        <v>47</v>
      </c>
      <c r="M29" s="6" t="s">
        <v>93</v>
      </c>
      <c r="O29" t="s">
        <v>213</v>
      </c>
    </row>
    <row r="30" spans="1:15" x14ac:dyDescent="0.25">
      <c r="A30" t="s">
        <v>23</v>
      </c>
      <c r="B30" t="s">
        <v>45</v>
      </c>
      <c r="D30" s="1"/>
      <c r="G30" s="2" t="s">
        <v>6</v>
      </c>
      <c r="J30" t="s">
        <v>47</v>
      </c>
      <c r="M30" s="6" t="s">
        <v>94</v>
      </c>
      <c r="O30" t="s">
        <v>213</v>
      </c>
    </row>
    <row r="31" spans="1:15" x14ac:dyDescent="0.25">
      <c r="A31" t="s">
        <v>23</v>
      </c>
      <c r="B31" t="s">
        <v>44</v>
      </c>
      <c r="C31" t="s">
        <v>51</v>
      </c>
      <c r="D31" s="1"/>
      <c r="F31" s="2" t="s">
        <v>6</v>
      </c>
      <c r="J31" t="s">
        <v>47</v>
      </c>
      <c r="K31">
        <v>73.069999999999993</v>
      </c>
      <c r="L31">
        <v>75</v>
      </c>
      <c r="M31" s="6" t="s">
        <v>95</v>
      </c>
      <c r="N31" t="s">
        <v>60</v>
      </c>
      <c r="O31" t="s">
        <v>213</v>
      </c>
    </row>
    <row r="32" spans="1:15" x14ac:dyDescent="0.25">
      <c r="A32" t="s">
        <v>23</v>
      </c>
      <c r="B32" t="s">
        <v>211</v>
      </c>
      <c r="D32" s="1"/>
      <c r="G32" s="2" t="s">
        <v>6</v>
      </c>
      <c r="J32" t="s">
        <v>47</v>
      </c>
      <c r="M32" s="6" t="s">
        <v>96</v>
      </c>
      <c r="O32" t="s">
        <v>213</v>
      </c>
    </row>
    <row r="33" spans="1:15" x14ac:dyDescent="0.25">
      <c r="A33" t="s">
        <v>22</v>
      </c>
      <c r="B33" t="s">
        <v>27</v>
      </c>
      <c r="D33" s="1" t="s">
        <v>50</v>
      </c>
      <c r="G33" s="2" t="s">
        <v>6</v>
      </c>
      <c r="J33" t="s">
        <v>47</v>
      </c>
      <c r="M33" s="6" t="s">
        <v>77</v>
      </c>
      <c r="N33" t="s">
        <v>52</v>
      </c>
      <c r="O33" t="s">
        <v>213</v>
      </c>
    </row>
    <row r="34" spans="1:15" x14ac:dyDescent="0.25">
      <c r="A34" t="s">
        <v>22</v>
      </c>
      <c r="B34" t="s">
        <v>42</v>
      </c>
      <c r="D34" s="1"/>
      <c r="G34" s="2" t="s">
        <v>6</v>
      </c>
      <c r="J34" t="s">
        <v>47</v>
      </c>
      <c r="M34" s="6" t="s">
        <v>78</v>
      </c>
      <c r="O34" t="s">
        <v>213</v>
      </c>
    </row>
    <row r="35" spans="1:15" x14ac:dyDescent="0.25">
      <c r="A35" t="s">
        <v>22</v>
      </c>
      <c r="B35" t="s">
        <v>42</v>
      </c>
      <c r="D35" s="1"/>
      <c r="G35" s="2" t="s">
        <v>6</v>
      </c>
      <c r="J35" t="s">
        <v>47</v>
      </c>
      <c r="M35" s="6" t="s">
        <v>79</v>
      </c>
      <c r="O35" t="s">
        <v>213</v>
      </c>
    </row>
    <row r="36" spans="1:15" x14ac:dyDescent="0.25">
      <c r="A36" t="s">
        <v>22</v>
      </c>
      <c r="B36" t="s">
        <v>43</v>
      </c>
      <c r="D36" s="1"/>
      <c r="G36" s="2" t="s">
        <v>6</v>
      </c>
      <c r="J36" t="s">
        <v>47</v>
      </c>
      <c r="M36" s="6" t="s">
        <v>80</v>
      </c>
      <c r="O36" t="s">
        <v>213</v>
      </c>
    </row>
    <row r="37" spans="1:15" x14ac:dyDescent="0.25">
      <c r="A37" t="s">
        <v>24</v>
      </c>
      <c r="B37" t="s">
        <v>28</v>
      </c>
      <c r="D37">
        <v>2522000011</v>
      </c>
      <c r="G37" s="2" t="s">
        <v>6</v>
      </c>
      <c r="J37" t="s">
        <v>47</v>
      </c>
      <c r="K37">
        <v>4489</v>
      </c>
      <c r="L37">
        <v>4457.05</v>
      </c>
      <c r="M37" s="6" t="s">
        <v>97</v>
      </c>
      <c r="O37" t="s">
        <v>213</v>
      </c>
    </row>
    <row r="38" spans="1:15" x14ac:dyDescent="0.25">
      <c r="A38" t="s">
        <v>24</v>
      </c>
      <c r="B38" t="s">
        <v>33</v>
      </c>
      <c r="G38" s="2" t="s">
        <v>6</v>
      </c>
      <c r="J38" t="s">
        <v>47</v>
      </c>
      <c r="M38" s="6" t="s">
        <v>99</v>
      </c>
      <c r="O38" t="s">
        <v>213</v>
      </c>
    </row>
    <row r="39" spans="1:15" x14ac:dyDescent="0.25">
      <c r="A39" t="s">
        <v>24</v>
      </c>
      <c r="B39" t="s">
        <v>34</v>
      </c>
      <c r="G39" s="2" t="s">
        <v>6</v>
      </c>
      <c r="J39" t="s">
        <v>47</v>
      </c>
      <c r="K39">
        <v>395</v>
      </c>
      <c r="M39" s="6" t="s">
        <v>100</v>
      </c>
      <c r="O39" t="s">
        <v>213</v>
      </c>
    </row>
    <row r="40" spans="1:15" x14ac:dyDescent="0.25">
      <c r="A40" t="s">
        <v>24</v>
      </c>
      <c r="B40" t="s">
        <v>28</v>
      </c>
      <c r="D40">
        <v>23223814134</v>
      </c>
      <c r="G40" s="2" t="s">
        <v>6</v>
      </c>
      <c r="J40" t="s">
        <v>47</v>
      </c>
      <c r="K40">
        <v>4530</v>
      </c>
      <c r="L40">
        <v>4457.05</v>
      </c>
      <c r="M40" s="6" t="s">
        <v>98</v>
      </c>
      <c r="O40" t="s">
        <v>213</v>
      </c>
    </row>
    <row r="41" spans="1:15" x14ac:dyDescent="0.25">
      <c r="A41" t="s">
        <v>24</v>
      </c>
      <c r="B41" t="s">
        <v>33</v>
      </c>
      <c r="G41" s="2" t="s">
        <v>6</v>
      </c>
      <c r="J41" t="s">
        <v>47</v>
      </c>
      <c r="M41" s="6" t="s">
        <v>101</v>
      </c>
      <c r="O41" t="s">
        <v>213</v>
      </c>
    </row>
    <row r="42" spans="1:15" x14ac:dyDescent="0.25">
      <c r="A42" t="s">
        <v>24</v>
      </c>
      <c r="B42" t="s">
        <v>34</v>
      </c>
      <c r="G42" s="2" t="s">
        <v>6</v>
      </c>
      <c r="J42" t="s">
        <v>47</v>
      </c>
      <c r="K42">
        <v>395</v>
      </c>
      <c r="M42" s="6" t="s">
        <v>102</v>
      </c>
      <c r="O42" t="s">
        <v>213</v>
      </c>
    </row>
    <row r="43" spans="1:15" x14ac:dyDescent="0.25">
      <c r="B43" t="s">
        <v>20</v>
      </c>
      <c r="G43" s="2" t="s">
        <v>6</v>
      </c>
      <c r="M43" s="6" t="s">
        <v>103</v>
      </c>
      <c r="O43" t="s">
        <v>214</v>
      </c>
    </row>
    <row r="44" spans="1:15" x14ac:dyDescent="0.25">
      <c r="B44" t="s">
        <v>20</v>
      </c>
      <c r="G44" s="2" t="s">
        <v>6</v>
      </c>
      <c r="M44" s="6" t="s">
        <v>104</v>
      </c>
      <c r="O44" t="s">
        <v>213</v>
      </c>
    </row>
    <row r="45" spans="1:15" x14ac:dyDescent="0.25">
      <c r="B45" t="s">
        <v>20</v>
      </c>
      <c r="G45" s="2" t="s">
        <v>6</v>
      </c>
      <c r="M45" s="6" t="s">
        <v>105</v>
      </c>
      <c r="O45" t="s">
        <v>214</v>
      </c>
    </row>
    <row r="46" spans="1:15" x14ac:dyDescent="0.25">
      <c r="B46" t="s">
        <v>20</v>
      </c>
      <c r="E46" s="2" t="s">
        <v>6</v>
      </c>
      <c r="M46" s="6" t="s">
        <v>106</v>
      </c>
      <c r="O46" t="s">
        <v>213</v>
      </c>
    </row>
    <row r="47" spans="1:15" x14ac:dyDescent="0.25">
      <c r="B47" t="s">
        <v>20</v>
      </c>
      <c r="E47" s="2" t="s">
        <v>6</v>
      </c>
      <c r="M47" s="6" t="s">
        <v>107</v>
      </c>
      <c r="O47" t="s">
        <v>214</v>
      </c>
    </row>
    <row r="48" spans="1:15" x14ac:dyDescent="0.25">
      <c r="B48" t="s">
        <v>20</v>
      </c>
      <c r="E48" s="2" t="s">
        <v>6</v>
      </c>
      <c r="M48" s="6" t="s">
        <v>108</v>
      </c>
      <c r="O48" t="s">
        <v>213</v>
      </c>
    </row>
    <row r="49" spans="2:15" x14ac:dyDescent="0.25">
      <c r="B49" t="s">
        <v>20</v>
      </c>
      <c r="F49" s="2" t="s">
        <v>6</v>
      </c>
      <c r="M49" s="6" t="s">
        <v>109</v>
      </c>
      <c r="O49" t="s">
        <v>214</v>
      </c>
    </row>
    <row r="50" spans="2:15" x14ac:dyDescent="0.25">
      <c r="B50" t="s">
        <v>20</v>
      </c>
      <c r="F50" s="2" t="s">
        <v>6</v>
      </c>
      <c r="M50" s="6" t="s">
        <v>110</v>
      </c>
      <c r="O50" t="s">
        <v>213</v>
      </c>
    </row>
    <row r="51" spans="2:15" x14ac:dyDescent="0.25">
      <c r="B51" t="s">
        <v>20</v>
      </c>
      <c r="F51" s="2" t="s">
        <v>6</v>
      </c>
      <c r="M51" s="6" t="s">
        <v>111</v>
      </c>
      <c r="O51" t="s">
        <v>214</v>
      </c>
    </row>
    <row r="52" spans="2:15" x14ac:dyDescent="0.25">
      <c r="B52" t="s">
        <v>20</v>
      </c>
      <c r="F52" s="2" t="s">
        <v>6</v>
      </c>
      <c r="M52" s="6" t="s">
        <v>112</v>
      </c>
      <c r="O52" t="s">
        <v>213</v>
      </c>
    </row>
    <row r="53" spans="2:15" x14ac:dyDescent="0.25">
      <c r="B53" t="s">
        <v>30</v>
      </c>
      <c r="J53" t="s">
        <v>47</v>
      </c>
      <c r="M53" s="6" t="s">
        <v>113</v>
      </c>
      <c r="O53" t="s">
        <v>214</v>
      </c>
    </row>
    <row r="54" spans="2:15" x14ac:dyDescent="0.25">
      <c r="B54" t="s">
        <v>30</v>
      </c>
      <c r="J54" t="s">
        <v>47</v>
      </c>
      <c r="M54" s="6" t="s">
        <v>115</v>
      </c>
      <c r="O54" t="s">
        <v>213</v>
      </c>
    </row>
    <row r="55" spans="2:15" x14ac:dyDescent="0.25">
      <c r="B55" t="s">
        <v>30</v>
      </c>
      <c r="J55" t="s">
        <v>47</v>
      </c>
      <c r="M55" s="6" t="s">
        <v>116</v>
      </c>
      <c r="O55" t="s">
        <v>214</v>
      </c>
    </row>
    <row r="56" spans="2:15" x14ac:dyDescent="0.25">
      <c r="B56" t="s">
        <v>30</v>
      </c>
      <c r="J56" t="s">
        <v>47</v>
      </c>
      <c r="M56" s="6" t="s">
        <v>117</v>
      </c>
      <c r="O56" t="s">
        <v>214</v>
      </c>
    </row>
    <row r="57" spans="2:15" x14ac:dyDescent="0.25">
      <c r="B57" t="s">
        <v>31</v>
      </c>
      <c r="J57" t="s">
        <v>47</v>
      </c>
      <c r="M57" s="6" t="s">
        <v>114</v>
      </c>
      <c r="O57" t="s">
        <v>213</v>
      </c>
    </row>
    <row r="58" spans="2:15" x14ac:dyDescent="0.25">
      <c r="B58" t="s">
        <v>32</v>
      </c>
      <c r="M58" s="6" t="s">
        <v>119</v>
      </c>
      <c r="O58" t="s">
        <v>213</v>
      </c>
    </row>
    <row r="59" spans="2:15" x14ac:dyDescent="0.25">
      <c r="B59" t="s">
        <v>35</v>
      </c>
      <c r="J59" t="s">
        <v>47</v>
      </c>
      <c r="K59">
        <v>126</v>
      </c>
      <c r="M59" s="6" t="s">
        <v>120</v>
      </c>
      <c r="O59" t="s">
        <v>213</v>
      </c>
    </row>
    <row r="60" spans="2:15" x14ac:dyDescent="0.25">
      <c r="B60" t="s">
        <v>35</v>
      </c>
      <c r="J60" t="s">
        <v>47</v>
      </c>
      <c r="K60">
        <v>126</v>
      </c>
      <c r="M60" s="6" t="s">
        <v>121</v>
      </c>
      <c r="O60" t="s">
        <v>213</v>
      </c>
    </row>
    <row r="61" spans="2:15" x14ac:dyDescent="0.25">
      <c r="B61" t="s">
        <v>36</v>
      </c>
      <c r="J61" t="s">
        <v>47</v>
      </c>
      <c r="M61" s="6" t="s">
        <v>122</v>
      </c>
      <c r="O61" t="s">
        <v>213</v>
      </c>
    </row>
    <row r="62" spans="2:15" x14ac:dyDescent="0.25">
      <c r="B62" t="s">
        <v>36</v>
      </c>
      <c r="J62" t="s">
        <v>47</v>
      </c>
      <c r="M62" s="6" t="s">
        <v>123</v>
      </c>
      <c r="O62" t="s">
        <v>213</v>
      </c>
    </row>
    <row r="63" spans="2:15" x14ac:dyDescent="0.25">
      <c r="B63" t="s">
        <v>36</v>
      </c>
      <c r="J63" t="s">
        <v>47</v>
      </c>
      <c r="M63" s="6" t="s">
        <v>124</v>
      </c>
      <c r="O63" t="s">
        <v>213</v>
      </c>
    </row>
    <row r="64" spans="2:15" x14ac:dyDescent="0.25">
      <c r="B64" t="s">
        <v>37</v>
      </c>
      <c r="J64" t="s">
        <v>47</v>
      </c>
      <c r="M64" s="6" t="s">
        <v>125</v>
      </c>
      <c r="O64" t="s">
        <v>213</v>
      </c>
    </row>
    <row r="65" spans="1:15" x14ac:dyDescent="0.25">
      <c r="B65" t="s">
        <v>37</v>
      </c>
      <c r="J65" t="s">
        <v>47</v>
      </c>
      <c r="M65" s="6" t="s">
        <v>126</v>
      </c>
      <c r="O65" t="s">
        <v>213</v>
      </c>
    </row>
    <row r="66" spans="1:15" x14ac:dyDescent="0.25">
      <c r="B66" t="s">
        <v>128</v>
      </c>
      <c r="J66" t="s">
        <v>47</v>
      </c>
      <c r="K66">
        <v>395</v>
      </c>
      <c r="M66" s="6" t="s">
        <v>127</v>
      </c>
      <c r="O66" t="s">
        <v>213</v>
      </c>
    </row>
    <row r="67" spans="1:15" x14ac:dyDescent="0.25">
      <c r="B67" t="s">
        <v>57</v>
      </c>
      <c r="J67" t="s">
        <v>47</v>
      </c>
      <c r="M67" s="6" t="s">
        <v>129</v>
      </c>
      <c r="O67" t="s">
        <v>213</v>
      </c>
    </row>
    <row r="68" spans="1:15" x14ac:dyDescent="0.25">
      <c r="B68" t="s">
        <v>57</v>
      </c>
      <c r="J68" t="s">
        <v>47</v>
      </c>
      <c r="M68" s="6" t="s">
        <v>130</v>
      </c>
      <c r="O68" t="s">
        <v>213</v>
      </c>
    </row>
    <row r="69" spans="1:15" x14ac:dyDescent="0.25">
      <c r="A69" t="s">
        <v>59</v>
      </c>
      <c r="B69" t="s">
        <v>58</v>
      </c>
      <c r="D69">
        <v>6135</v>
      </c>
      <c r="E69" s="2" t="s">
        <v>6</v>
      </c>
      <c r="J69" t="s">
        <v>47</v>
      </c>
      <c r="M69" s="6" t="s">
        <v>131</v>
      </c>
      <c r="O69" t="s">
        <v>213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2AD0-AC4B-4569-B837-D0213F9A11B0}">
  <dimension ref="A1:N17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339D-8127-41C9-9D1B-E85846EA164B}">
  <dimension ref="A1:N17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4243-874A-460E-B2CD-106E2FADFE7D}">
  <dimension ref="A1:N17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FA80-DD3A-4AC1-AD36-98DEB06BD03B}">
  <dimension ref="A1:N17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8D2C-B97E-42EB-AED5-EA2544B3CA8B}">
  <dimension ref="A1:N17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4.85546875" bestFit="1" customWidth="1"/>
    <col min="3" max="3" width="12.140625" bestFit="1" customWidth="1"/>
    <col min="4" max="4" width="13.7109375" bestFit="1" customWidth="1"/>
    <col min="5" max="5" width="4.85546875" bestFit="1" customWidth="1"/>
    <col min="6" max="6" width="5" bestFit="1" customWidth="1"/>
    <col min="7" max="7" width="4.7109375" bestFit="1" customWidth="1"/>
    <col min="8" max="8" width="16" bestFit="1" customWidth="1"/>
    <col min="9" max="9" width="9.28515625" bestFit="1" customWidth="1"/>
    <col min="10" max="10" width="15" bestFit="1" customWidth="1"/>
    <col min="11" max="11" width="4.85546875" bestFit="1" customWidth="1"/>
    <col min="12" max="12" width="6" bestFit="1" customWidth="1"/>
    <col min="13" max="13" width="13.42578125" bestFit="1" customWidth="1"/>
    <col min="14" max="14" width="6.140625" bestFit="1" customWidth="1"/>
  </cols>
  <sheetData>
    <row r="1" spans="1:14" x14ac:dyDescent="0.25">
      <c r="A1" t="s">
        <v>21</v>
      </c>
      <c r="B1" t="s">
        <v>1</v>
      </c>
      <c r="C1" t="s">
        <v>29</v>
      </c>
      <c r="D1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t="s">
        <v>8</v>
      </c>
      <c r="J1" s="2" t="s">
        <v>46</v>
      </c>
      <c r="K1" s="2" t="s">
        <v>48</v>
      </c>
      <c r="L1" t="s">
        <v>49</v>
      </c>
      <c r="M1" s="5" t="s">
        <v>53</v>
      </c>
      <c r="N1" t="s">
        <v>14</v>
      </c>
    </row>
    <row r="2" spans="1:14" x14ac:dyDescent="0.25">
      <c r="B2" s="1"/>
      <c r="C2" s="2"/>
      <c r="D2" s="2"/>
      <c r="E2" s="2"/>
      <c r="F2" s="3"/>
    </row>
    <row r="3" spans="1:14" x14ac:dyDescent="0.25">
      <c r="B3" s="1"/>
      <c r="C3" s="2"/>
      <c r="D3" s="2"/>
      <c r="E3" s="2"/>
      <c r="F3" s="3"/>
    </row>
    <row r="4" spans="1:14" x14ac:dyDescent="0.25">
      <c r="B4" s="1"/>
      <c r="C4" s="2"/>
      <c r="D4" s="2"/>
      <c r="E4" s="2"/>
      <c r="F4" s="2"/>
    </row>
    <row r="5" spans="1:14" x14ac:dyDescent="0.25">
      <c r="B5" s="1"/>
      <c r="C5" s="2"/>
      <c r="D5" s="2"/>
      <c r="E5" s="2"/>
      <c r="F5" s="2"/>
    </row>
    <row r="6" spans="1:14" x14ac:dyDescent="0.25">
      <c r="B6" s="1"/>
      <c r="C6" s="2"/>
      <c r="D6" s="2"/>
      <c r="E6" s="2"/>
      <c r="F6" s="2"/>
    </row>
    <row r="7" spans="1:14" x14ac:dyDescent="0.25">
      <c r="B7" s="1"/>
      <c r="C7" s="2"/>
      <c r="D7" s="2"/>
      <c r="E7" s="2"/>
      <c r="F7" s="2"/>
    </row>
    <row r="8" spans="1:14" x14ac:dyDescent="0.25">
      <c r="B8" s="1"/>
      <c r="C8" s="2"/>
      <c r="D8" s="2"/>
      <c r="E8" s="2"/>
      <c r="F8" s="2"/>
    </row>
    <row r="9" spans="1:14" x14ac:dyDescent="0.25">
      <c r="B9" s="1"/>
      <c r="C9" s="2"/>
      <c r="D9" s="2"/>
      <c r="E9" s="2"/>
      <c r="F9" s="2"/>
    </row>
    <row r="10" spans="1:14" x14ac:dyDescent="0.25">
      <c r="B10" s="1"/>
      <c r="C10" s="2"/>
      <c r="D10" s="2"/>
      <c r="E10" s="2"/>
      <c r="F10" s="2"/>
    </row>
    <row r="11" spans="1:14" x14ac:dyDescent="0.25">
      <c r="B11" s="1"/>
      <c r="C11" s="2"/>
      <c r="D11" s="2"/>
      <c r="E11" s="2"/>
      <c r="F11" s="2"/>
    </row>
    <row r="12" spans="1:14" x14ac:dyDescent="0.25">
      <c r="B12" s="1"/>
      <c r="C12" s="2"/>
      <c r="D12" s="2"/>
      <c r="E12" s="2"/>
      <c r="F12" s="2"/>
    </row>
    <row r="13" spans="1:14" x14ac:dyDescent="0.25">
      <c r="B13" s="1"/>
      <c r="C13" s="2"/>
      <c r="D13" s="2"/>
      <c r="E13" s="2"/>
      <c r="F13" s="2"/>
    </row>
    <row r="14" spans="1:14" x14ac:dyDescent="0.25">
      <c r="B14" s="1"/>
      <c r="C14" s="2"/>
      <c r="D14" s="2"/>
      <c r="E14" s="2"/>
      <c r="F14" s="2"/>
    </row>
    <row r="15" spans="1:14" x14ac:dyDescent="0.25">
      <c r="B15" s="1"/>
      <c r="C15" s="2"/>
      <c r="D15" s="2"/>
      <c r="E15" s="2"/>
      <c r="F15" s="2"/>
    </row>
    <row r="16" spans="1:14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2026 Purchase</vt:lpstr>
      <vt:lpstr>0247_Atlas IV</vt:lpstr>
      <vt:lpstr>0249_Atlas VI</vt:lpstr>
      <vt:lpstr>0250_Atlas X </vt:lpstr>
      <vt:lpstr>0255_Atlas II </vt:lpstr>
      <vt:lpstr>0257_Blossom</vt:lpstr>
      <vt:lpstr>0258_Ursa</vt:lpstr>
      <vt:lpstr>0282_Beavertail</vt:lpstr>
      <vt:lpstr>0272_Atlas XI</vt:lpstr>
      <vt:lpstr>0273_Armadillo</vt:lpstr>
      <vt:lpstr>0274_Eagle Creek</vt:lpstr>
      <vt:lpstr>0275_Atlas V</vt:lpstr>
      <vt:lpstr>0283_Clear Fork Creek</vt:lpstr>
      <vt:lpstr>0302_Travertine</vt:lpstr>
      <vt:lpstr>0304_Great Plains</vt:lpstr>
      <vt:lpstr>0305_Switchgrass</vt:lpstr>
      <vt:lpstr>0312_Atlas XII</vt:lpstr>
      <vt:lpstr>0313_Atlas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Hartley</dc:creator>
  <cp:lastModifiedBy>James Hartley</cp:lastModifiedBy>
  <dcterms:created xsi:type="dcterms:W3CDTF">2026-02-05T21:53:29Z</dcterms:created>
  <dcterms:modified xsi:type="dcterms:W3CDTF">2026-02-13T01:39:42Z</dcterms:modified>
</cp:coreProperties>
</file>